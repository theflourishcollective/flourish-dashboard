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 Year" sheetId="1" state="visible" r:id="rId3"/>
    <sheet name="Revenue Detail" sheetId="2" state="visible" r:id="rId4"/>
    <sheet name="Expense Detail" sheetId="3" state="visible" r:id="rId5"/>
    <sheet name="Progress Tracker" sheetId="4" state="visible" r:id="rId6"/>
    <sheet name="Executive Dashboard" sheetId="5" state="visible" r:id="rId7"/>
    <sheet name="Planning Proforma" sheetId="6" state="visible" r:id="rId8"/>
    <sheet name="People Cos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<sst xmlns="http://schemas.openxmlformats.org/spreadsheetml/2006/main" count="649" uniqueCount="302">
  <si>
    <t xml:space="preserve">FY26 CURRENT YEAR BUDGET - PRIMARY SOURCE</t>
  </si>
  <si>
    <t xml:space="preserve">Revenue &amp; Expense by account. Sub-accounts/categories sum up to parent. YTD pulls from Progress Tracker.</t>
  </si>
  <si>
    <t xml:space="preserve">Account #</t>
  </si>
  <si>
    <t xml:space="preserve">Account Name</t>
  </si>
  <si>
    <t xml:space="preserve">Account Category</t>
  </si>
  <si>
    <t xml:space="preserve">Budget by Account</t>
  </si>
  <si>
    <t xml:space="preserve">Budget by Category</t>
  </si>
  <si>
    <t xml:space="preserve">YTD Actual</t>
  </si>
  <si>
    <t xml:space="preserve">% of Budget</t>
  </si>
  <si>
    <t xml:space="preserve">REVENUE</t>
  </si>
  <si>
    <t xml:space="preserve">4000</t>
  </si>
  <si>
    <t xml:space="preserve">Community Contributions</t>
  </si>
  <si>
    <t xml:space="preserve">  Board Contributions</t>
  </si>
  <si>
    <t xml:space="preserve">    Leadership Board Contributions</t>
  </si>
  <si>
    <t xml:space="preserve">    Executive Board Contributions</t>
  </si>
  <si>
    <t xml:space="preserve">  Founding Donor (NFF) Contributions</t>
  </si>
  <si>
    <t xml:space="preserve">  Major Donor Contributions</t>
  </si>
  <si>
    <t xml:space="preserve">  All Other Community Contributions</t>
  </si>
  <si>
    <t xml:space="preserve">4010</t>
  </si>
  <si>
    <t xml:space="preserve">Merchandise</t>
  </si>
  <si>
    <t xml:space="preserve">4020</t>
  </si>
  <si>
    <t xml:space="preserve">Annual Gathering</t>
  </si>
  <si>
    <t xml:space="preserve">4021</t>
  </si>
  <si>
    <t xml:space="preserve">Gathering Scholarships</t>
  </si>
  <si>
    <t xml:space="preserve">4025</t>
  </si>
  <si>
    <t xml:space="preserve">Fundraising Events</t>
  </si>
  <si>
    <t xml:space="preserve">4026</t>
  </si>
  <si>
    <t xml:space="preserve">Learning Events</t>
  </si>
  <si>
    <t xml:space="preserve">4027</t>
  </si>
  <si>
    <t xml:space="preserve">  Online Learning Events</t>
  </si>
  <si>
    <t xml:space="preserve">4028</t>
  </si>
  <si>
    <t xml:space="preserve">  In Person Learning Event</t>
  </si>
  <si>
    <t xml:space="preserve">4030</t>
  </si>
  <si>
    <t xml:space="preserve">Reimbursables/Misc Uncategorized</t>
  </si>
  <si>
    <t xml:space="preserve">TOTAL REVENUE</t>
  </si>
  <si>
    <t xml:space="preserve">NA</t>
  </si>
  <si>
    <t xml:space="preserve">EXPENSES</t>
  </si>
  <si>
    <t xml:space="preserve">5100</t>
  </si>
  <si>
    <t xml:space="preserve">Member Care</t>
  </si>
  <si>
    <t xml:space="preserve">Development</t>
  </si>
  <si>
    <t xml:space="preserve">5110</t>
  </si>
  <si>
    <t xml:space="preserve">Impact Partner Care</t>
  </si>
  <si>
    <t xml:space="preserve">5200</t>
  </si>
  <si>
    <t xml:space="preserve">Fundraising &amp; Marketing Expenses</t>
  </si>
  <si>
    <t xml:space="preserve">5210</t>
  </si>
  <si>
    <t xml:space="preserve">Fundraising Event</t>
  </si>
  <si>
    <t xml:space="preserve">5300</t>
  </si>
  <si>
    <t xml:space="preserve">Bank &amp; Donation Fees</t>
  </si>
  <si>
    <t xml:space="preserve">Overhead</t>
  </si>
  <si>
    <t xml:space="preserve">5310</t>
  </si>
  <si>
    <t xml:space="preserve">Subscription Services</t>
  </si>
  <si>
    <t xml:space="preserve">5321</t>
  </si>
  <si>
    <t xml:space="preserve">Leadership Travel</t>
  </si>
  <si>
    <t xml:space="preserve">5323</t>
  </si>
  <si>
    <t xml:space="preserve">Leadership Meetings</t>
  </si>
  <si>
    <t xml:space="preserve">Programs</t>
  </si>
  <si>
    <t xml:space="preserve">5330</t>
  </si>
  <si>
    <t xml:space="preserve">Postage and Mailing Supplies</t>
  </si>
  <si>
    <t xml:space="preserve">5340</t>
  </si>
  <si>
    <t xml:space="preserve">Non-Profit Liability Ins (Alliance)</t>
  </si>
  <si>
    <t xml:space="preserve">5350</t>
  </si>
  <si>
    <t xml:space="preserve">Supplies</t>
  </si>
  <si>
    <t xml:space="preserve">5400</t>
  </si>
  <si>
    <t xml:space="preserve">In Person Annual Event</t>
  </si>
  <si>
    <t xml:space="preserve">5410</t>
  </si>
  <si>
    <t xml:space="preserve">Training</t>
  </si>
  <si>
    <t xml:space="preserve">5420</t>
  </si>
  <si>
    <t xml:space="preserve">Honorariums</t>
  </si>
  <si>
    <t xml:space="preserve">5430</t>
  </si>
  <si>
    <t xml:space="preserve">Learning Events Expenses</t>
  </si>
  <si>
    <t xml:space="preserve">5460</t>
  </si>
  <si>
    <t xml:space="preserve">Merchandise (Expense)</t>
  </si>
  <si>
    <t xml:space="preserve">5470</t>
  </si>
  <si>
    <t xml:space="preserve">Misc Expenses</t>
  </si>
  <si>
    <t xml:space="preserve">5480</t>
  </si>
  <si>
    <t xml:space="preserve">Printing</t>
  </si>
  <si>
    <t xml:space="preserve">5500</t>
  </si>
  <si>
    <t xml:space="preserve">Grants</t>
  </si>
  <si>
    <t xml:space="preserve">Grantmaking</t>
  </si>
  <si>
    <t xml:space="preserve">Staff Costs - Michele</t>
  </si>
  <si>
    <t xml:space="preserve">  Michele (Dev)</t>
  </si>
  <si>
    <t xml:space="preserve">  Michele (Prog)</t>
  </si>
  <si>
    <t xml:space="preserve">  Michele (OH)</t>
  </si>
  <si>
    <t xml:space="preserve">Staff Costs - Lynnette</t>
  </si>
  <si>
    <t xml:space="preserve">  Lynnette (Dev)</t>
  </si>
  <si>
    <t xml:space="preserve">  Lynnette (Prog)</t>
  </si>
  <si>
    <t xml:space="preserve">  Lynnette (OH)</t>
  </si>
  <si>
    <t xml:space="preserve">Kristin Malvadkar</t>
  </si>
  <si>
    <t xml:space="preserve">  Kristin (Prog)</t>
  </si>
  <si>
    <t xml:space="preserve">  Kristin (OH)</t>
  </si>
  <si>
    <t xml:space="preserve">Lauren</t>
  </si>
  <si>
    <t xml:space="preserve">  Lauren (Dev)</t>
  </si>
  <si>
    <t xml:space="preserve">  Lauren (Prog)</t>
  </si>
  <si>
    <t xml:space="preserve">Sharon Bennett (Admin)</t>
  </si>
  <si>
    <t xml:space="preserve">Financial Services</t>
  </si>
  <si>
    <t xml:space="preserve">Contractor Support (PM/DA)</t>
  </si>
  <si>
    <t xml:space="preserve">TOTAL EXPENSES</t>
  </si>
  <si>
    <t xml:space="preserve">EXPENSE CATEGORY SUBTOTALS</t>
  </si>
  <si>
    <t xml:space="preserve">Development: Donor &amp; Partner Care</t>
  </si>
  <si>
    <t xml:space="preserve">Programs: Education, Allyship, Engagement</t>
  </si>
  <si>
    <t xml:space="preserve">NET INCOME</t>
  </si>
  <si>
    <t xml:space="preserve">REVENUE TRACKING BY SOURCE</t>
  </si>
  <si>
    <t xml:space="preserve">Revenue Source</t>
  </si>
  <si>
    <t xml:space="preserve">FY21 Actual</t>
  </si>
  <si>
    <t xml:space="preserve">FY22 Actual</t>
  </si>
  <si>
    <t xml:space="preserve">FY23 Actual</t>
  </si>
  <si>
    <t xml:space="preserve">FY24 Actual</t>
  </si>
  <si>
    <t xml:space="preserve">FY25 Actual</t>
  </si>
  <si>
    <t xml:space="preserve">FY26 Budget</t>
  </si>
  <si>
    <t xml:space="preserve">FY26 YTD</t>
  </si>
  <si>
    <t xml:space="preserve">FY26 % Plan</t>
  </si>
  <si>
    <t xml:space="preserve">  In Person Learning Events</t>
  </si>
  <si>
    <t xml:space="preserve">Reimbursables/Misc</t>
  </si>
  <si>
    <t xml:space="preserve">FY26 EXPENSE DETAIL - MIRRORS CURRENT YEAR</t>
  </si>
  <si>
    <t xml:space="preserve">Account</t>
  </si>
  <si>
    <t xml:space="preserve">FY21</t>
  </si>
  <si>
    <t xml:space="preserve">FY22</t>
  </si>
  <si>
    <t xml:space="preserve">FY23</t>
  </si>
  <si>
    <t xml:space="preserve">FY24</t>
  </si>
  <si>
    <t xml:space="preserve">FY26 PROGRESS TRACKER - Monthly Actuals by Account</t>
  </si>
  <si>
    <t xml:space="preserve">Acct #</t>
  </si>
  <si>
    <t xml:space="preserve">Category</t>
  </si>
  <si>
    <t xml:space="preserve">Budget</t>
  </si>
  <si>
    <t xml:space="preserve">Jan</t>
  </si>
  <si>
    <t xml:space="preserve">Feb</t>
  </si>
  <si>
    <t xml:space="preserve">Mar</t>
  </si>
  <si>
    <t xml:space="preserve">Q1</t>
  </si>
  <si>
    <t xml:space="preserve">Apr</t>
  </si>
  <si>
    <t xml:space="preserve">May</t>
  </si>
  <si>
    <t xml:space="preserve">Jun</t>
  </si>
  <si>
    <t xml:space="preserve">Q2</t>
  </si>
  <si>
    <t xml:space="preserve">Jul</t>
  </si>
  <si>
    <t xml:space="preserve">Aug</t>
  </si>
  <si>
    <t xml:space="preserve">Sep</t>
  </si>
  <si>
    <t xml:space="preserve">Q3</t>
  </si>
  <si>
    <t xml:space="preserve">Oct</t>
  </si>
  <si>
    <t xml:space="preserve">Nov</t>
  </si>
  <si>
    <t xml:space="preserve">Dec</t>
  </si>
  <si>
    <t xml:space="preserve">Q4</t>
  </si>
  <si>
    <t xml:space="preserve">YTD</t>
  </si>
  <si>
    <t xml:space="preserve">% Bgt</t>
  </si>
  <si>
    <t xml:space="preserve">EXPENSE CATEGORY SUMMARY</t>
  </si>
  <si>
    <t xml:space="preserve">THE FLOURISH COLLECTIVE</t>
  </si>
  <si>
    <t xml:space="preserve">Financial Performance Tracker &amp; 2030 Projection</t>
  </si>
  <si>
    <t xml:space="preserve">Metric</t>
  </si>
  <si>
    <t xml:space="preserve">FY25 Plan</t>
  </si>
  <si>
    <t xml:space="preserve">FY25 % Plan</t>
  </si>
  <si>
    <t xml:space="preserve">FY26 Actual</t>
  </si>
  <si>
    <t xml:space="preserve">FY27 Proj</t>
  </si>
  <si>
    <t xml:space="preserve">FY28 Proj</t>
  </si>
  <si>
    <t xml:space="preserve">FY29 Proj</t>
  </si>
  <si>
    <t xml:space="preserve">FY30 Proj</t>
  </si>
  <si>
    <t xml:space="preserve">  Grantmaking</t>
  </si>
  <si>
    <t xml:space="preserve">  Development/Donor Care</t>
  </si>
  <si>
    <t xml:space="preserve">  Programs/Education</t>
  </si>
  <si>
    <t xml:space="preserve">  Overhead</t>
  </si>
  <si>
    <t xml:space="preserve">COMMUNITY GROWTH &amp; GIVING</t>
  </si>
  <si>
    <t xml:space="preserve"># Active Allies</t>
  </si>
  <si>
    <t xml:space="preserve"># Donors</t>
  </si>
  <si>
    <t xml:space="preserve">Average Donation ($)</t>
  </si>
  <si>
    <t xml:space="preserve">% Community Giving</t>
  </si>
  <si>
    <t xml:space="preserve">Community Growth %</t>
  </si>
  <si>
    <t xml:space="preserve">PROGRAM ENGAGEMENT</t>
  </si>
  <si>
    <t xml:space="preserve">Events Total</t>
  </si>
  <si>
    <t xml:space="preserve">Unique Attendees</t>
  </si>
  <si>
    <t xml:space="preserve">Total Attendees</t>
  </si>
  <si>
    <t xml:space="preserve">PLANNING PROFORMA &amp; SCENARIO ANALYSIS</t>
  </si>
  <si>
    <t xml:space="preserve">Edit BLUE cells to adjust projections. FY26 pulls from Current Year Budget. Gray cells are calculated.</t>
  </si>
  <si>
    <t xml:space="preserve">PROJECTION ASSUMPTIONS</t>
  </si>
  <si>
    <t xml:space="preserve">Assumption</t>
  </si>
  <si>
    <t xml:space="preserve">FY26 (Current)</t>
  </si>
  <si>
    <t xml:space="preserve">FY27</t>
  </si>
  <si>
    <t xml:space="preserve">FY28</t>
  </si>
  <si>
    <t xml:space="preserve">FY29</t>
  </si>
  <si>
    <t xml:space="preserve">FY30</t>
  </si>
  <si>
    <t xml:space="preserve">Notes</t>
  </si>
  <si>
    <t xml:space="preserve">REVENUE GROWTH</t>
  </si>
  <si>
    <t xml:space="preserve">Community Contributions Growth %</t>
  </si>
  <si>
    <t xml:space="preserve">N/A</t>
  </si>
  <si>
    <t xml:space="preserve">Year-over-year growth</t>
  </si>
  <si>
    <t xml:space="preserve">Leadership Board Contributions ($)</t>
  </si>
  <si>
    <t xml:space="preserve">Fixed annual amount</t>
  </si>
  <si>
    <t xml:space="preserve">Executive Board Contributions ($)</t>
  </si>
  <si>
    <t xml:space="preserve">NFF Contributions ($)</t>
  </si>
  <si>
    <t xml:space="preserve">Declining per agreement</t>
  </si>
  <si>
    <t xml:space="preserve">Major Donor Growth %</t>
  </si>
  <si>
    <t xml:space="preserve">Fundraising Events Growth %</t>
  </si>
  <si>
    <t xml:space="preserve">Learning Events Growth %</t>
  </si>
  <si>
    <t xml:space="preserve">EXPENSE GROWTH</t>
  </si>
  <si>
    <t xml:space="preserve">Staff Cost Growth %</t>
  </si>
  <si>
    <t xml:space="preserve">Annual raises/benefits</t>
  </si>
  <si>
    <t xml:space="preserve">Program Cost Growth %</t>
  </si>
  <si>
    <t xml:space="preserve">Scaling programs</t>
  </si>
  <si>
    <t xml:space="preserve">Overhead as % of Total</t>
  </si>
  <si>
    <t xml:space="preserve">Target overhead ratio</t>
  </si>
  <si>
    <t xml:space="preserve">Grantmaking Target ($)</t>
  </si>
  <si>
    <t xml:space="preserve">Annual grants awarded</t>
  </si>
  <si>
    <t xml:space="preserve">COMMUNITY GROWTH</t>
  </si>
  <si>
    <t xml:space="preserve">Community Size Growth %</t>
  </si>
  <si>
    <t xml:space="preserve">Member growth rate</t>
  </si>
  <si>
    <t xml:space="preserve">Donor Conversion Rate</t>
  </si>
  <si>
    <t xml:space="preserve">% of community who give</t>
  </si>
  <si>
    <t xml:space="preserve">Average Donation Growth %</t>
  </si>
  <si>
    <t xml:space="preserve">2030 STRATEGIC TARGETS</t>
  </si>
  <si>
    <t xml:space="preserve">$1M+ Grants Given (Cumulative)</t>
  </si>
  <si>
    <t xml:space="preserve">1,000+ Active Allies</t>
  </si>
  <si>
    <t xml:space="preserve">50 Impact Partner Organizations</t>
  </si>
  <si>
    <t xml:space="preserve">20,000 Individuals Engaged (Cumulative)</t>
  </si>
  <si>
    <t xml:space="preserve">REVENUE PROJECTIONS</t>
  </si>
  <si>
    <t xml:space="preserve">  Leadership Board Contributions</t>
  </si>
  <si>
    <t xml:space="preserve">  Executive Board Contributions</t>
  </si>
  <si>
    <t xml:space="preserve">  NFF Contributions</t>
  </si>
  <si>
    <t xml:space="preserve">  All Other Community</t>
  </si>
  <si>
    <t xml:space="preserve">EXPENSE PROJECTIONS</t>
  </si>
  <si>
    <t xml:space="preserve">2025 Proforma Staffing Plan A</t>
  </si>
  <si>
    <t xml:space="preserve">Mid Year Changes</t>
  </si>
  <si>
    <t xml:space="preserve">Total Cost</t>
  </si>
  <si>
    <t xml:space="preserve">Role</t>
  </si>
  <si>
    <t xml:space="preserve">Type</t>
  </si>
  <si>
    <t xml:space="preserve">Rate/hr</t>
  </si>
  <si>
    <t xml:space="preserve">Hrs/wk</t>
  </si>
  <si>
    <t xml:space="preserve">Exec Director</t>
  </si>
  <si>
    <t xml:space="preserve">FTE</t>
  </si>
  <si>
    <t xml:space="preserve">Michelle full time</t>
  </si>
  <si>
    <t xml:space="preserve">Community Engagement</t>
  </si>
  <si>
    <t xml:space="preserve">Recommend no change to salary, only to job description.</t>
  </si>
  <si>
    <t xml:space="preserve">PTE</t>
  </si>
  <si>
    <t xml:space="preserve">Lynette - no change</t>
  </si>
  <si>
    <t xml:space="preserve">Learning &amp; Ally Development</t>
  </si>
  <si>
    <t xml:space="preserve">Learning &amp; Ally Develoment</t>
  </si>
  <si>
    <t xml:space="preserve">1099 one time</t>
  </si>
  <si>
    <t xml:space="preserve">Kristin maxed</t>
  </si>
  <si>
    <t xml:space="preserve">Comms &amp; Marketing</t>
  </si>
  <si>
    <t xml:space="preserve">Agree increase to full time and update Title &amp; JD to include all roles</t>
  </si>
  <si>
    <t xml:space="preserve">Lauren PT Time</t>
  </si>
  <si>
    <t xml:space="preserve">Administrative &amp; Content Support</t>
  </si>
  <si>
    <t xml:space="preserve">Agree to hire, recommend 20 hrs/wk instead of 10</t>
  </si>
  <si>
    <t xml:space="preserve">Contractor to hire</t>
  </si>
  <si>
    <t xml:space="preserve">Grant Writing</t>
  </si>
  <si>
    <t xml:space="preserve">Recommend do not spend this</t>
  </si>
  <si>
    <t xml:space="preserve">1099 ongoing</t>
  </si>
  <si>
    <t xml:space="preserve">-</t>
  </si>
  <si>
    <t xml:space="preserve">Contractor expert</t>
  </si>
  <si>
    <t xml:space="preserve">Data Analytics Design &amp; Development</t>
  </si>
  <si>
    <t xml:space="preserve">Recommend design and requirements definition Q2/Q3 FY25, add development to FY26 budget.</t>
  </si>
  <si>
    <t xml:space="preserve">TOTAL People Cost</t>
  </si>
  <si>
    <t xml:space="preserve">2025 Proforma Staffing Plan B</t>
  </si>
  <si>
    <t xml:space="preserve">Michele 32 hrs/wk, reduce 401k match by $9k</t>
  </si>
  <si>
    <t xml:space="preserve">Lynette moved to 60% time</t>
  </si>
  <si>
    <t xml:space="preserve">Kristin maxed PT</t>
  </si>
  <si>
    <t xml:space="preserve">Lauren Filomeo PT</t>
  </si>
  <si>
    <t xml:space="preserve">Projection 2025 Q2-4</t>
  </si>
  <si>
    <t xml:space="preserve">Employee</t>
  </si>
  <si>
    <t xml:space="preserve">Gross earnings $35 per hour</t>
  </si>
  <si>
    <t xml:space="preserve">Total employee deductions</t>
  </si>
  <si>
    <t xml:space="preserve">Total employer contributions</t>
  </si>
  <si>
    <t xml:space="preserve">Total employee taxes</t>
  </si>
  <si>
    <t xml:space="preserve">Total employer taxes</t>
  </si>
  <si>
    <t xml:space="preserve">Net pay</t>
  </si>
  <si>
    <t xml:space="preserve">Lynnette Marshall</t>
  </si>
  <si>
    <t xml:space="preserve">Percentage of time spent</t>
  </si>
  <si>
    <t xml:space="preserve">Education/Allyship programs</t>
  </si>
  <si>
    <t xml:space="preserve">Operations</t>
  </si>
  <si>
    <t xml:space="preserve">FY24 - $114, 416</t>
  </si>
  <si>
    <t xml:space="preserve">Director</t>
  </si>
  <si>
    <t xml:space="preserve">FY 25 Projections -- </t>
  </si>
  <si>
    <t xml:space="preserve">Learning Consultant</t>
  </si>
  <si>
    <t xml:space="preserve">Communications</t>
  </si>
  <si>
    <t xml:space="preserve">FY 23 - </t>
  </si>
  <si>
    <t xml:space="preserve">Michele's Notes</t>
  </si>
  <si>
    <t xml:space="preserve">Gross earnings</t>
  </si>
  <si>
    <t xml:space="preserve">Lynnette Marshall - avg $33 hourly</t>
  </si>
  <si>
    <t xml:space="preserve">Michele Sbrana</t>
  </si>
  <si>
    <t xml:space="preserve">.025% increase for 2025</t>
  </si>
  <si>
    <t xml:space="preserve">Totals</t>
  </si>
  <si>
    <t xml:space="preserve">Gross earnings Total</t>
  </si>
  <si>
    <t xml:space="preserve">Total employee deductions Total</t>
  </si>
  <si>
    <t xml:space="preserve">Total employer contributions Total</t>
  </si>
  <si>
    <t xml:space="preserve">Total employee taxes Total</t>
  </si>
  <si>
    <t xml:space="preserve">Total employer taxes Total</t>
  </si>
  <si>
    <t xml:space="preserve">Net pay Total</t>
  </si>
  <si>
    <t xml:space="preserve">hours</t>
  </si>
  <si>
    <t xml:space="preserve">hours Jan + Feb</t>
  </si>
  <si>
    <t xml:space="preserve">Contractors</t>
  </si>
  <si>
    <t xml:space="preserve">Learning/K Malvadkar</t>
  </si>
  <si>
    <t xml:space="preserve">Comms L Filomeo</t>
  </si>
  <si>
    <t xml:space="preserve">Actuals</t>
  </si>
  <si>
    <t xml:space="preserve">Projected 2025</t>
  </si>
  <si>
    <t xml:space="preserve">2024 Total People Cost</t>
  </si>
  <si>
    <t xml:space="preserve">FY26 JD ALLOCATIONS BY ROLE</t>
  </si>
  <si>
    <t xml:space="preserve">Development %</t>
  </si>
  <si>
    <t xml:space="preserve">Programs %</t>
  </si>
  <si>
    <t xml:space="preserve">Overhead %</t>
  </si>
  <si>
    <t xml:space="preserve">Total %</t>
  </si>
  <si>
    <t xml:space="preserve">FY26 Total $</t>
  </si>
  <si>
    <t xml:space="preserve">Michele Sbrana (Exec Director)</t>
  </si>
  <si>
    <t xml:space="preserve">Lynnette Marshall (Community Engagement)</t>
  </si>
  <si>
    <t xml:space="preserve">Kristin Malvadkar (Learning)</t>
  </si>
  <si>
    <t xml:space="preserve">Lauren (Communications)</t>
  </si>
  <si>
    <t xml:space="preserve">TOTAL</t>
  </si>
  <si>
    <t xml:space="preserve">FY26 ALLOCATION BY CATEGORY</t>
  </si>
  <si>
    <t xml:space="preserve">Amount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</si>
</sst>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%"/>
    <numFmt numFmtId="167" formatCode="\$#,##0;&quot;($&quot;#,##0\);\-"/>
    <numFmt numFmtId="168" formatCode="General"/>
    <numFmt numFmtId="169" formatCode="#,##0"/>
    <numFmt numFmtId="170" formatCode="\$#,##0;&quot;($&quot;#,##0\);\$0"/>
    <numFmt numFmtId="171" formatCode="\$#,##0.00"/>
  </numFmts>
  <fonts count="3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8761D"/>
      <name val="Calibri"/>
      <family val="0"/>
      <charset val="1"/>
    </font>
    <font>
      <i val="true"/>
      <sz val="11"/>
      <color rgb="FF43434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theme="1"/>
      <name val="Calibri"/>
      <family val="0"/>
      <charset val="1"/>
    </font>
    <font>
      <i val="true"/>
      <sz val="11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434343"/>
      <name val="Calibri"/>
      <family val="0"/>
      <charset val="1"/>
    </font>
    <font>
      <b val="true"/>
      <i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name val="Calibri"/>
      <family val="0"/>
      <charset val="1"/>
    </font>
    <font>
      <i val="true"/>
      <sz val="11"/>
      <color theme="1"/>
      <name val="Calibri"/>
      <family val="0"/>
      <charset val="1"/>
    </font>
    <font>
      <b val="true"/>
      <sz val="14"/>
      <color rgb="FF2E7D32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i val="true"/>
      <sz val="11"/>
      <color rgb="FF666666"/>
      <name val="Calibri"/>
      <family val="0"/>
      <charset val="1"/>
    </font>
    <font>
      <b val="true"/>
      <sz val="14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theme="1"/>
      <name val="Cambria"/>
      <family val="0"/>
      <charset val="1"/>
    </font>
    <font>
      <b val="true"/>
      <sz val="11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11"/>
      <color theme="1"/>
      <name val="Cambria"/>
      <family val="0"/>
      <charset val="1"/>
    </font>
    <font>
      <b val="true"/>
      <sz val="16"/>
      <color rgb="FF2E7D32"/>
      <name val="Calibri"/>
      <family val="0"/>
      <charset val="1"/>
    </font>
    <font>
      <b val="true"/>
      <sz val="12"/>
      <color rgb="FF2E7D32"/>
      <name val="Calibri"/>
      <family val="0"/>
      <charset val="1"/>
    </font>
    <font>
      <b val="true"/>
      <sz val="11"/>
      <color theme="0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10"/>
      <color theme="1"/>
      <name val="Calibri"/>
      <family val="0"/>
      <charset val="1"/>
    </font>
    <font>
      <sz val="10"/>
      <color theme="1"/>
      <name val="Calibri"/>
      <family val="0"/>
      <charset val="1"/>
    </font>
    <font>
      <sz val="11"/>
      <color theme="0"/>
      <name val="Calibri"/>
      <family val="0"/>
      <charset val="1"/>
    </font>
    <font>
      <sz val="11"/>
      <color theme="1"/>
      <name val="Arial"/>
      <family val="0"/>
      <charset val="1"/>
    </font>
    <font>
      <b val="true"/>
      <sz val="12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38761D"/>
        <bgColor rgb="FF2E7D32"/>
      </patternFill>
    </fill>
    <fill>
      <patternFill patternType="solid">
        <fgColor rgb="FFC8E6C9"/>
        <bgColor rgb="FFD3D3D3"/>
      </patternFill>
    </fill>
    <fill>
      <patternFill patternType="solid">
        <fgColor rgb="FFE3F2FD"/>
        <bgColor rgb="FFE8F5E9"/>
      </patternFill>
    </fill>
    <fill>
      <patternFill patternType="solid">
        <fgColor rgb="FFFFF9C4"/>
        <bgColor rgb="FFFFF2CC"/>
      </patternFill>
    </fill>
    <fill>
      <patternFill patternType="solid">
        <fgColor rgb="FF2E7D32"/>
        <bgColor rgb="FF38761D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FCE5CD"/>
        <bgColor rgb="FFFFF2CC"/>
      </patternFill>
    </fill>
    <fill>
      <patternFill patternType="solid">
        <fgColor rgb="FFBBDEFB"/>
        <bgColor rgb="FFC8E6C9"/>
      </patternFill>
    </fill>
    <fill>
      <patternFill patternType="solid">
        <fgColor rgb="FF434343"/>
        <bgColor rgb="FF333300"/>
      </patternFill>
    </fill>
    <fill>
      <patternFill patternType="solid">
        <fgColor rgb="FF0B5394"/>
        <bgColor rgb="FF003366"/>
      </patternFill>
    </fill>
    <fill>
      <patternFill patternType="solid">
        <fgColor rgb="FFFFF2CC"/>
        <bgColor rgb="FFFFF9C4"/>
      </patternFill>
    </fill>
    <fill>
      <patternFill patternType="solid">
        <fgColor rgb="FFB6D7A8"/>
        <bgColor rgb="FFC8E6C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thin">
        <color rgb="FFCCCCCC"/>
      </top>
      <bottom style="thin">
        <color rgb="FFCCCCCC"/>
      </bottom>
      <diagonal/>
    </border>
    <border diagonalUp="false" diagonalDown="false">
      <left/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8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1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7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8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7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1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1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3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1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1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11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7" fillId="11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1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1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13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3F2FD"/>
      <rgbColor rgb="FF660066"/>
      <rgbColor rgb="FFFF8080"/>
      <rgbColor rgb="FF0B5394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2CC"/>
      <rgbColor rgb="FFBBDEFB"/>
      <rgbColor rgb="FFF5F5F5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666666"/>
      <rgbColor rgb="FFB6D7A8"/>
      <rgbColor rgb="FF003366"/>
      <rgbColor rgb="FF2E7D32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34.29"/>
    <col collapsed="false" customWidth="true" hidden="false" outlineLevel="0" max="4" min="4" style="1" width="20.85"/>
    <col collapsed="false" customWidth="true" hidden="false" outlineLevel="0" max="5" min="5" style="1" width="21.14"/>
    <col collapsed="false" customWidth="true" hidden="false" outlineLevel="0" max="6" min="6" style="1" width="14"/>
    <col collapsed="false" customWidth="true" hidden="false" outlineLevel="0" max="7" min="7" style="1" width="14.57"/>
    <col collapsed="false" customWidth="true" hidden="false" outlineLevel="0" max="27" min="8" style="1" width="8.71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/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customFormat="false" ht="15" hidden="false" customHeight="true" outlineLevel="0" collapsed="false">
      <c r="A5" s="7" t="s">
        <v>9</v>
      </c>
      <c r="B5" s="7"/>
      <c r="C5" s="7"/>
      <c r="D5" s="7"/>
      <c r="E5" s="7"/>
      <c r="F5" s="7"/>
      <c r="G5" s="7"/>
    </row>
    <row r="6" customFormat="false" ht="15" hidden="false" customHeight="true" outlineLevel="0" collapsed="false">
      <c r="A6" s="8" t="s">
        <v>10</v>
      </c>
      <c r="B6" s="1" t="s">
        <v>11</v>
      </c>
      <c r="D6" s="9" t="n">
        <f aca="false">E7+E10+E11+E12</f>
        <v>385000</v>
      </c>
      <c r="E6" s="9"/>
      <c r="F6" s="9" t="n">
        <f aca="false">'Progress Tracker'!U6</f>
        <v>54740</v>
      </c>
      <c r="G6" s="10" t="n">
        <f aca="false">IF(D6=0,0,F6/D6)</f>
        <v>0.142181818181818</v>
      </c>
    </row>
    <row r="7" customFormat="false" ht="15" hidden="false" customHeight="true" outlineLevel="0" collapsed="false">
      <c r="B7" s="11"/>
      <c r="C7" s="12" t="s">
        <v>12</v>
      </c>
      <c r="E7" s="13" t="n">
        <f aca="false">SUM(E8:E9)</f>
        <v>80000</v>
      </c>
      <c r="F7" s="14" t="n">
        <f aca="false">'Progress Tracker'!U7</f>
        <v>4120</v>
      </c>
      <c r="G7" s="15" t="n">
        <f aca="false">IF(E7=0,0,F7/E7)</f>
        <v>0.0515</v>
      </c>
    </row>
    <row r="8" customFormat="false" ht="15" hidden="false" customHeight="true" outlineLevel="0" collapsed="false">
      <c r="B8" s="11"/>
      <c r="C8" s="12" t="s">
        <v>13</v>
      </c>
      <c r="E8" s="13" t="n">
        <v>20000</v>
      </c>
      <c r="F8" s="14" t="n">
        <f aca="false">'Progress Tracker'!U8</f>
        <v>1120</v>
      </c>
      <c r="G8" s="15" t="n">
        <f aca="false">IF(E8=0,0,F8/E8)</f>
        <v>0.056</v>
      </c>
    </row>
    <row r="9" customFormat="false" ht="15" hidden="false" customHeight="true" outlineLevel="0" collapsed="false">
      <c r="B9" s="11"/>
      <c r="C9" s="12" t="s">
        <v>14</v>
      </c>
      <c r="E9" s="13" t="n">
        <v>60000</v>
      </c>
      <c r="F9" s="14" t="n">
        <f aca="false">'Progress Tracker'!U9</f>
        <v>3000</v>
      </c>
      <c r="G9" s="15" t="n">
        <f aca="false">IF(E9=0,0,F9/E9)</f>
        <v>0.05</v>
      </c>
    </row>
    <row r="10" customFormat="false" ht="15" hidden="false" customHeight="true" outlineLevel="0" collapsed="false">
      <c r="B10" s="11"/>
      <c r="C10" s="12" t="s">
        <v>15</v>
      </c>
      <c r="E10" s="13" t="n">
        <v>150000</v>
      </c>
      <c r="F10" s="14" t="n">
        <f aca="false">'Progress Tracker'!U10</f>
        <v>40000</v>
      </c>
      <c r="G10" s="15" t="n">
        <f aca="false">IF(E10=0,0,F10/E10)</f>
        <v>0.266666666666667</v>
      </c>
    </row>
    <row r="11" customFormat="false" ht="15" hidden="false" customHeight="true" outlineLevel="0" collapsed="false">
      <c r="A11" s="8"/>
      <c r="C11" s="1" t="s">
        <v>16</v>
      </c>
      <c r="D11" s="16"/>
      <c r="E11" s="9" t="n">
        <v>100000</v>
      </c>
      <c r="F11" s="9" t="n">
        <f aca="false">'Progress Tracker'!U11</f>
        <v>0</v>
      </c>
      <c r="G11" s="10" t="n">
        <f aca="false">IF(E11=0,0,F11/E11)</f>
        <v>0</v>
      </c>
    </row>
    <row r="12" customFormat="false" ht="15" hidden="false" customHeight="true" outlineLevel="0" collapsed="false">
      <c r="A12" s="8"/>
      <c r="C12" s="1" t="s">
        <v>17</v>
      </c>
      <c r="D12" s="16"/>
      <c r="E12" s="9" t="n">
        <v>55000</v>
      </c>
      <c r="F12" s="9" t="n">
        <f aca="false">'Progress Tracker'!U12</f>
        <v>10620</v>
      </c>
      <c r="G12" s="10" t="n">
        <f aca="false">IF(E12=0,0,F12/E12)</f>
        <v>0.193090909090909</v>
      </c>
    </row>
    <row r="13" customFormat="false" ht="15" hidden="false" customHeight="true" outlineLevel="0" collapsed="false">
      <c r="A13" s="8" t="s">
        <v>18</v>
      </c>
      <c r="B13" s="1" t="s">
        <v>19</v>
      </c>
      <c r="D13" s="16" t="n">
        <v>2000</v>
      </c>
      <c r="E13" s="9"/>
      <c r="F13" s="9" t="n">
        <f aca="false">'Progress Tracker'!U13</f>
        <v>0</v>
      </c>
      <c r="G13" s="10" t="n">
        <f aca="false">IF(D13=0,0,F13/D13)</f>
        <v>0</v>
      </c>
    </row>
    <row r="14" customFormat="false" ht="15" hidden="false" customHeight="true" outlineLevel="0" collapsed="false">
      <c r="A14" s="8" t="s">
        <v>20</v>
      </c>
      <c r="B14" s="1" t="s">
        <v>21</v>
      </c>
      <c r="D14" s="16" t="n">
        <v>20000</v>
      </c>
      <c r="E14" s="9"/>
      <c r="F14" s="9" t="n">
        <f aca="false">'Progress Tracker'!U14</f>
        <v>0</v>
      </c>
      <c r="G14" s="10" t="n">
        <f aca="false">IF(D14=0,0,F14/D14)</f>
        <v>0</v>
      </c>
    </row>
    <row r="15" customFormat="false" ht="15" hidden="false" customHeight="true" outlineLevel="0" collapsed="false">
      <c r="A15" s="8" t="s">
        <v>22</v>
      </c>
      <c r="B15" s="1" t="s">
        <v>23</v>
      </c>
      <c r="D15" s="9" t="n">
        <v>0</v>
      </c>
      <c r="E15" s="9"/>
      <c r="F15" s="9" t="n">
        <f aca="false">'Progress Tracker'!U15</f>
        <v>0</v>
      </c>
      <c r="G15" s="10" t="n">
        <f aca="false">IF(D15=0,0,F15/D15)</f>
        <v>0</v>
      </c>
    </row>
    <row r="16" customFormat="false" ht="15" hidden="false" customHeight="true" outlineLevel="0" collapsed="false">
      <c r="A16" s="8" t="s">
        <v>24</v>
      </c>
      <c r="B16" s="11" t="s">
        <v>25</v>
      </c>
      <c r="C16" s="12"/>
      <c r="D16" s="1" t="n">
        <v>100000</v>
      </c>
      <c r="E16" s="13"/>
      <c r="F16" s="17" t="n">
        <f aca="false">'Progress Tracker'!U16</f>
        <v>12899.79</v>
      </c>
      <c r="G16" s="18" t="n">
        <f aca="false">IF(D16=0,0,F16/D16)</f>
        <v>0.1289979</v>
      </c>
    </row>
    <row r="17" customFormat="false" ht="15" hidden="false" customHeight="true" outlineLevel="0" collapsed="false">
      <c r="A17" s="8" t="s">
        <v>26</v>
      </c>
      <c r="B17" s="11" t="s">
        <v>27</v>
      </c>
      <c r="C17" s="12"/>
      <c r="D17" s="1" t="n">
        <f aca="false">SUM(E18:E19)</f>
        <v>10000</v>
      </c>
      <c r="E17" s="13"/>
      <c r="F17" s="17" t="n">
        <f aca="false">SUM(F18:F19)</f>
        <v>3615</v>
      </c>
      <c r="G17" s="18" t="n">
        <f aca="false">IF(D17=0,0,F17/D17)</f>
        <v>0.3615</v>
      </c>
    </row>
    <row r="18" customFormat="false" ht="15" hidden="false" customHeight="true" outlineLevel="0" collapsed="false">
      <c r="A18" s="8" t="s">
        <v>28</v>
      </c>
      <c r="C18" s="1" t="s">
        <v>29</v>
      </c>
      <c r="D18" s="16"/>
      <c r="E18" s="9" t="n">
        <v>5000</v>
      </c>
      <c r="F18" s="9" t="n">
        <f aca="false">'Progress Tracker'!U18</f>
        <v>3615</v>
      </c>
      <c r="G18" s="10" t="n">
        <f aca="false">IF(E18=0,0,F18/E18)</f>
        <v>0.723</v>
      </c>
    </row>
    <row r="19" customFormat="false" ht="15" hidden="false" customHeight="true" outlineLevel="0" collapsed="false">
      <c r="A19" s="7" t="s">
        <v>30</v>
      </c>
      <c r="B19" s="19"/>
      <c r="C19" s="19" t="s">
        <v>31</v>
      </c>
      <c r="D19" s="20"/>
      <c r="E19" s="21" t="n">
        <v>5000</v>
      </c>
      <c r="F19" s="20" t="n">
        <f aca="false">'Progress Tracker'!U19</f>
        <v>0</v>
      </c>
      <c r="G19" s="22" t="n">
        <f aca="false">IF(E19=0,0,F19/E19)</f>
        <v>0</v>
      </c>
    </row>
    <row r="20" customFormat="false" ht="15" hidden="false" customHeight="true" outlineLevel="0" collapsed="false">
      <c r="A20" s="1" t="s">
        <v>32</v>
      </c>
      <c r="B20" s="1" t="s">
        <v>33</v>
      </c>
      <c r="D20" s="1" t="n">
        <v>0</v>
      </c>
      <c r="F20" s="1" t="n">
        <f aca="false">'Progress Tracker'!U20</f>
        <v>0</v>
      </c>
      <c r="G20" s="1" t="n">
        <f aca="false">IF(D20=0,0,F20/D20)</f>
        <v>0</v>
      </c>
    </row>
    <row r="21" customFormat="false" ht="15" hidden="false" customHeight="true" outlineLevel="0" collapsed="false">
      <c r="A21" s="23" t="s">
        <v>34</v>
      </c>
      <c r="D21" s="1" t="n">
        <f aca="false">D6+D13+D14+D15+D16+D17+D20</f>
        <v>517000</v>
      </c>
      <c r="E21" s="1" t="s">
        <v>35</v>
      </c>
      <c r="F21" s="1" t="n">
        <f aca="false">F6+F13+F14+F15+F16+F17+F20</f>
        <v>71254.79</v>
      </c>
      <c r="G21" s="1" t="n">
        <f aca="false">IF(D21=0,0,F21/D21)</f>
        <v>0.137823578336557</v>
      </c>
    </row>
    <row r="22" customFormat="false" ht="15" hidden="false" customHeight="true" outlineLevel="0" collapsed="false">
      <c r="A22" s="8"/>
      <c r="C22" s="12"/>
      <c r="D22" s="16"/>
      <c r="E22" s="9"/>
      <c r="F22" s="9"/>
      <c r="G22" s="10"/>
    </row>
    <row r="23" customFormat="false" ht="15" hidden="false" customHeight="true" outlineLevel="0" collapsed="false">
      <c r="A23" s="24" t="s">
        <v>36</v>
      </c>
      <c r="B23" s="24"/>
      <c r="C23" s="24"/>
      <c r="D23" s="24"/>
      <c r="E23" s="24"/>
      <c r="F23" s="24"/>
      <c r="G23" s="24"/>
    </row>
    <row r="24" customFormat="false" ht="15" hidden="false" customHeight="true" outlineLevel="0" collapsed="false">
      <c r="A24" s="8" t="s">
        <v>37</v>
      </c>
      <c r="B24" s="1" t="s">
        <v>38</v>
      </c>
      <c r="C24" s="12" t="s">
        <v>39</v>
      </c>
      <c r="D24" s="16" t="n">
        <v>300</v>
      </c>
      <c r="E24" s="9"/>
      <c r="F24" s="9" t="n">
        <f aca="false">'Progress Tracker'!U24</f>
        <v>0</v>
      </c>
      <c r="G24" s="10" t="n">
        <f aca="false">IF(D24=0,0,F24/D24)</f>
        <v>0</v>
      </c>
    </row>
    <row r="25" customFormat="false" ht="15" hidden="false" customHeight="true" outlineLevel="0" collapsed="false">
      <c r="A25" s="8" t="s">
        <v>40</v>
      </c>
      <c r="B25" s="1" t="s">
        <v>41</v>
      </c>
      <c r="C25" s="12" t="s">
        <v>39</v>
      </c>
      <c r="D25" s="16" t="n">
        <v>300</v>
      </c>
      <c r="E25" s="9"/>
      <c r="F25" s="9" t="n">
        <f aca="false">'Progress Tracker'!U25</f>
        <v>0</v>
      </c>
      <c r="G25" s="10" t="n">
        <f aca="false">IF(D25=0,0,F25/D25)</f>
        <v>0</v>
      </c>
    </row>
    <row r="26" customFormat="false" ht="15" hidden="false" customHeight="true" outlineLevel="0" collapsed="false">
      <c r="A26" s="8" t="s">
        <v>42</v>
      </c>
      <c r="B26" s="1" t="s">
        <v>43</v>
      </c>
      <c r="C26" s="12" t="s">
        <v>39</v>
      </c>
      <c r="D26" s="16" t="n">
        <v>10000</v>
      </c>
      <c r="E26" s="9"/>
      <c r="F26" s="9" t="n">
        <f aca="false">'Progress Tracker'!U26</f>
        <v>0</v>
      </c>
      <c r="G26" s="10" t="n">
        <f aca="false">IF(D26=0,0,F26/D26)</f>
        <v>0</v>
      </c>
    </row>
    <row r="27" customFormat="false" ht="15" hidden="false" customHeight="true" outlineLevel="0" collapsed="false">
      <c r="A27" s="8" t="s">
        <v>44</v>
      </c>
      <c r="B27" s="1" t="s">
        <v>45</v>
      </c>
      <c r="C27" s="12" t="s">
        <v>39</v>
      </c>
      <c r="D27" s="16" t="n">
        <v>25000</v>
      </c>
      <c r="E27" s="9"/>
      <c r="F27" s="9" t="n">
        <f aca="false">'Progress Tracker'!U27</f>
        <v>0</v>
      </c>
      <c r="G27" s="10" t="n">
        <f aca="false">IF(D27=0,0,F27/D27)</f>
        <v>0</v>
      </c>
    </row>
    <row r="28" customFormat="false" ht="15" hidden="false" customHeight="true" outlineLevel="0" collapsed="false">
      <c r="A28" s="8" t="s">
        <v>46</v>
      </c>
      <c r="B28" s="1" t="s">
        <v>47</v>
      </c>
      <c r="C28" s="12" t="s">
        <v>48</v>
      </c>
      <c r="D28" s="16" t="n">
        <v>4500</v>
      </c>
      <c r="E28" s="9"/>
      <c r="F28" s="9" t="n">
        <f aca="false">'Progress Tracker'!U28</f>
        <v>0</v>
      </c>
      <c r="G28" s="10" t="n">
        <f aca="false">IF(D28=0,0,F28/D28)</f>
        <v>0</v>
      </c>
    </row>
    <row r="29" customFormat="false" ht="15" hidden="false" customHeight="true" outlineLevel="0" collapsed="false">
      <c r="A29" s="8" t="s">
        <v>49</v>
      </c>
      <c r="B29" s="1" t="s">
        <v>50</v>
      </c>
      <c r="C29" s="12" t="s">
        <v>48</v>
      </c>
      <c r="D29" s="16" t="n">
        <v>7000</v>
      </c>
      <c r="E29" s="9"/>
      <c r="F29" s="9" t="n">
        <f aca="false">'Progress Tracker'!U29</f>
        <v>0</v>
      </c>
      <c r="G29" s="10" t="n">
        <f aca="false">IF(D29=0,0,F29/D29)</f>
        <v>0</v>
      </c>
    </row>
    <row r="30" customFormat="false" ht="15" hidden="false" customHeight="true" outlineLevel="0" collapsed="false">
      <c r="A30" s="8" t="s">
        <v>51</v>
      </c>
      <c r="B30" s="1" t="s">
        <v>52</v>
      </c>
      <c r="C30" s="12" t="s">
        <v>48</v>
      </c>
      <c r="D30" s="16" t="n">
        <v>3500</v>
      </c>
      <c r="E30" s="9"/>
      <c r="F30" s="9" t="n">
        <f aca="false">'Progress Tracker'!U30</f>
        <v>0</v>
      </c>
      <c r="G30" s="10" t="n">
        <f aca="false">IF(D30=0,0,F30/D30)</f>
        <v>0</v>
      </c>
    </row>
    <row r="31" customFormat="false" ht="15" hidden="false" customHeight="true" outlineLevel="0" collapsed="false">
      <c r="A31" s="8" t="s">
        <v>53</v>
      </c>
      <c r="B31" s="1" t="s">
        <v>54</v>
      </c>
      <c r="C31" s="12" t="s">
        <v>55</v>
      </c>
      <c r="D31" s="16" t="n">
        <v>2500</v>
      </c>
      <c r="E31" s="9"/>
      <c r="F31" s="9" t="n">
        <f aca="false">'Progress Tracker'!U31</f>
        <v>0</v>
      </c>
      <c r="G31" s="10" t="n">
        <f aca="false">IF(D31=0,0,F31/D31)</f>
        <v>0</v>
      </c>
    </row>
    <row r="32" customFormat="false" ht="15" hidden="false" customHeight="true" outlineLevel="0" collapsed="false">
      <c r="A32" s="8" t="s">
        <v>56</v>
      </c>
      <c r="B32" s="1" t="s">
        <v>57</v>
      </c>
      <c r="C32" s="12" t="s">
        <v>48</v>
      </c>
      <c r="D32" s="16" t="n">
        <v>350</v>
      </c>
      <c r="E32" s="9"/>
      <c r="F32" s="9" t="n">
        <f aca="false">'Progress Tracker'!U32</f>
        <v>0</v>
      </c>
      <c r="G32" s="10" t="n">
        <f aca="false">IF(D32=0,0,F32/D32)</f>
        <v>0</v>
      </c>
    </row>
    <row r="33" customFormat="false" ht="15" hidden="false" customHeight="true" outlineLevel="0" collapsed="false">
      <c r="A33" s="8" t="s">
        <v>58</v>
      </c>
      <c r="B33" s="1" t="s">
        <v>59</v>
      </c>
      <c r="C33" s="12" t="s">
        <v>48</v>
      </c>
      <c r="D33" s="16" t="n">
        <v>3300</v>
      </c>
      <c r="E33" s="9"/>
      <c r="F33" s="9" t="n">
        <f aca="false">'Progress Tracker'!U33</f>
        <v>0</v>
      </c>
      <c r="G33" s="10" t="n">
        <f aca="false">IF(D33=0,0,F33/D33)</f>
        <v>0</v>
      </c>
    </row>
    <row r="34" customFormat="false" ht="15" hidden="false" customHeight="true" outlineLevel="0" collapsed="false">
      <c r="A34" s="8" t="s">
        <v>60</v>
      </c>
      <c r="B34" s="1" t="s">
        <v>61</v>
      </c>
      <c r="C34" s="12" t="s">
        <v>48</v>
      </c>
      <c r="D34" s="16" t="n">
        <v>200</v>
      </c>
      <c r="E34" s="9"/>
      <c r="F34" s="9" t="n">
        <f aca="false">'Progress Tracker'!U34</f>
        <v>0</v>
      </c>
      <c r="G34" s="10" t="n">
        <f aca="false">IF(D34=0,0,F34/D34)</f>
        <v>0</v>
      </c>
    </row>
    <row r="35" customFormat="false" ht="15" hidden="false" customHeight="true" outlineLevel="0" collapsed="false">
      <c r="A35" s="8" t="s">
        <v>62</v>
      </c>
      <c r="B35" s="1" t="s">
        <v>63</v>
      </c>
      <c r="C35" s="12" t="s">
        <v>55</v>
      </c>
      <c r="D35" s="16" t="n">
        <v>18000</v>
      </c>
      <c r="E35" s="9"/>
      <c r="F35" s="9" t="n">
        <f aca="false">'Progress Tracker'!U35</f>
        <v>0</v>
      </c>
      <c r="G35" s="10" t="n">
        <f aca="false">IF(D35=0,0,F35/D35)</f>
        <v>0</v>
      </c>
    </row>
    <row r="36" customFormat="false" ht="15" hidden="false" customHeight="true" outlineLevel="0" collapsed="false">
      <c r="A36" s="8" t="s">
        <v>64</v>
      </c>
      <c r="B36" s="1" t="s">
        <v>65</v>
      </c>
      <c r="C36" s="12" t="s">
        <v>55</v>
      </c>
      <c r="D36" s="16" t="n">
        <v>300</v>
      </c>
      <c r="E36" s="9"/>
      <c r="F36" s="9" t="n">
        <f aca="false">'Progress Tracker'!U36</f>
        <v>0</v>
      </c>
      <c r="G36" s="10" t="n">
        <f aca="false">IF(D36=0,0,F36/D36)</f>
        <v>0</v>
      </c>
    </row>
    <row r="37" customFormat="false" ht="15" hidden="false" customHeight="true" outlineLevel="0" collapsed="false">
      <c r="A37" s="8" t="s">
        <v>66</v>
      </c>
      <c r="B37" s="1" t="s">
        <v>67</v>
      </c>
      <c r="C37" s="12" t="s">
        <v>55</v>
      </c>
      <c r="D37" s="16" t="n">
        <v>1800</v>
      </c>
      <c r="E37" s="9"/>
      <c r="F37" s="9" t="n">
        <f aca="false">'Progress Tracker'!U37</f>
        <v>0</v>
      </c>
      <c r="G37" s="10" t="n">
        <f aca="false">IF(D37=0,0,F37/D37)</f>
        <v>0</v>
      </c>
    </row>
    <row r="38" customFormat="false" ht="15" hidden="false" customHeight="true" outlineLevel="0" collapsed="false">
      <c r="A38" s="8" t="s">
        <v>68</v>
      </c>
      <c r="B38" s="1" t="s">
        <v>69</v>
      </c>
      <c r="C38" s="12" t="s">
        <v>55</v>
      </c>
      <c r="D38" s="16" t="n">
        <v>5000</v>
      </c>
      <c r="E38" s="9"/>
      <c r="F38" s="9" t="n">
        <f aca="false">'Progress Tracker'!U38</f>
        <v>0</v>
      </c>
      <c r="G38" s="10" t="n">
        <f aca="false">IF(D38=0,0,F38/D38)</f>
        <v>0</v>
      </c>
    </row>
    <row r="39" customFormat="false" ht="15" hidden="false" customHeight="true" outlineLevel="0" collapsed="false">
      <c r="A39" s="8" t="s">
        <v>70</v>
      </c>
      <c r="B39" s="1" t="s">
        <v>71</v>
      </c>
      <c r="C39" s="12" t="s">
        <v>48</v>
      </c>
      <c r="D39" s="16" t="n">
        <v>1800</v>
      </c>
      <c r="E39" s="9"/>
      <c r="F39" s="9" t="n">
        <f aca="false">'Progress Tracker'!U39</f>
        <v>0</v>
      </c>
      <c r="G39" s="10" t="n">
        <f aca="false">IF(D39=0,0,F39/D39)</f>
        <v>0</v>
      </c>
    </row>
    <row r="40" customFormat="false" ht="15" hidden="false" customHeight="true" outlineLevel="0" collapsed="false">
      <c r="A40" s="8" t="s">
        <v>72</v>
      </c>
      <c r="B40" s="1" t="s">
        <v>73</v>
      </c>
      <c r="C40" s="12" t="s">
        <v>48</v>
      </c>
      <c r="D40" s="16" t="n">
        <v>1000</v>
      </c>
      <c r="E40" s="9"/>
      <c r="F40" s="9" t="n">
        <f aca="false">'Progress Tracker'!U40</f>
        <v>0</v>
      </c>
      <c r="G40" s="10" t="n">
        <f aca="false">IF(D40=0,0,F40/D40)</f>
        <v>0</v>
      </c>
    </row>
    <row r="41" customFormat="false" ht="15" hidden="false" customHeight="true" outlineLevel="0" collapsed="false">
      <c r="A41" s="8" t="s">
        <v>74</v>
      </c>
      <c r="B41" s="1" t="s">
        <v>75</v>
      </c>
      <c r="C41" s="1" t="s">
        <v>55</v>
      </c>
      <c r="D41" s="16" t="n">
        <v>250</v>
      </c>
      <c r="E41" s="9"/>
      <c r="F41" s="9" t="n">
        <f aca="false">'Progress Tracker'!U41</f>
        <v>0</v>
      </c>
      <c r="G41" s="10" t="n">
        <f aca="false">IF(D41=0,0,F41/D41)</f>
        <v>0</v>
      </c>
    </row>
    <row r="42" customFormat="false" ht="15" hidden="false" customHeight="true" outlineLevel="0" collapsed="false">
      <c r="A42" s="1" t="s">
        <v>76</v>
      </c>
      <c r="B42" s="12" t="s">
        <v>77</v>
      </c>
      <c r="C42" s="12" t="s">
        <v>78</v>
      </c>
      <c r="D42" s="16" t="n">
        <v>50000</v>
      </c>
      <c r="E42" s="13"/>
      <c r="F42" s="9" t="n">
        <f aca="false">'Progress Tracker'!U42</f>
        <v>0</v>
      </c>
      <c r="G42" s="10" t="n">
        <f aca="false">IF(D42=0,0,F42/D42)</f>
        <v>0</v>
      </c>
    </row>
    <row r="43" customFormat="false" ht="15" hidden="false" customHeight="true" outlineLevel="0" collapsed="false">
      <c r="A43" s="1" t="n">
        <v>5600</v>
      </c>
      <c r="B43" s="12" t="s">
        <v>79</v>
      </c>
      <c r="C43" s="12"/>
      <c r="D43" s="16" t="n">
        <f aca="false">SUM(E44:E46)</f>
        <v>183967</v>
      </c>
      <c r="E43" s="13"/>
      <c r="F43" s="9" t="n">
        <f aca="false">'Progress Tracker'!U43</f>
        <v>0</v>
      </c>
      <c r="G43" s="10"/>
    </row>
    <row r="44" customFormat="false" ht="15" hidden="false" customHeight="true" outlineLevel="0" collapsed="false">
      <c r="B44" s="12" t="s">
        <v>80</v>
      </c>
      <c r="C44" s="12" t="s">
        <v>39</v>
      </c>
      <c r="D44" s="16"/>
      <c r="E44" s="13" t="n">
        <v>55190</v>
      </c>
      <c r="F44" s="9" t="n">
        <f aca="false">'Progress Tracker'!U44</f>
        <v>0</v>
      </c>
      <c r="G44" s="10"/>
    </row>
    <row r="45" customFormat="false" ht="15" hidden="false" customHeight="true" outlineLevel="0" collapsed="false">
      <c r="A45" s="8"/>
      <c r="B45" s="1" t="s">
        <v>81</v>
      </c>
      <c r="C45" s="1" t="s">
        <v>55</v>
      </c>
      <c r="D45" s="16"/>
      <c r="E45" s="9" t="n">
        <v>55190</v>
      </c>
      <c r="F45" s="9" t="n">
        <f aca="false">'Progress Tracker'!U45</f>
        <v>0</v>
      </c>
      <c r="G45" s="10"/>
    </row>
    <row r="46" customFormat="false" ht="15" hidden="false" customHeight="true" outlineLevel="0" collapsed="false">
      <c r="B46" s="12" t="s">
        <v>82</v>
      </c>
      <c r="C46" s="12" t="s">
        <v>48</v>
      </c>
      <c r="D46" s="16"/>
      <c r="E46" s="13" t="n">
        <v>73587</v>
      </c>
      <c r="F46" s="9" t="n">
        <f aca="false">'Progress Tracker'!U46</f>
        <v>0</v>
      </c>
      <c r="G46" s="10"/>
    </row>
    <row r="47" customFormat="false" ht="15" hidden="false" customHeight="true" outlineLevel="0" collapsed="false">
      <c r="A47" s="1" t="n">
        <v>5601</v>
      </c>
      <c r="B47" s="12" t="s">
        <v>83</v>
      </c>
      <c r="C47" s="12"/>
      <c r="D47" s="16" t="n">
        <f aca="false">SUM(E48:E50)</f>
        <v>58713</v>
      </c>
      <c r="E47" s="13"/>
      <c r="F47" s="9" t="n">
        <f aca="false">'Progress Tracker'!U47</f>
        <v>0</v>
      </c>
      <c r="G47" s="10"/>
    </row>
    <row r="48" customFormat="false" ht="15" hidden="false" customHeight="true" outlineLevel="0" collapsed="false">
      <c r="B48" s="12" t="s">
        <v>84</v>
      </c>
      <c r="C48" s="12" t="s">
        <v>39</v>
      </c>
      <c r="E48" s="12" t="n">
        <v>5871</v>
      </c>
      <c r="F48" s="9" t="n">
        <f aca="false">'Progress Tracker'!U48</f>
        <v>0</v>
      </c>
    </row>
    <row r="49" customFormat="false" ht="15" hidden="false" customHeight="true" outlineLevel="0" collapsed="false">
      <c r="A49" s="8"/>
      <c r="B49" s="1" t="s">
        <v>85</v>
      </c>
      <c r="C49" s="1" t="s">
        <v>55</v>
      </c>
      <c r="D49" s="16"/>
      <c r="E49" s="9" t="n">
        <v>44035</v>
      </c>
      <c r="F49" s="9" t="n">
        <f aca="false">'Progress Tracker'!U49</f>
        <v>0</v>
      </c>
      <c r="G49" s="10"/>
    </row>
    <row r="50" customFormat="false" ht="15" hidden="false" customHeight="true" outlineLevel="0" collapsed="false">
      <c r="B50" s="12" t="s">
        <v>86</v>
      </c>
      <c r="C50" s="12" t="s">
        <v>48</v>
      </c>
      <c r="D50" s="16"/>
      <c r="E50" s="13" t="n">
        <v>8807</v>
      </c>
      <c r="F50" s="9" t="n">
        <f aca="false">'Progress Tracker'!U50</f>
        <v>0</v>
      </c>
      <c r="G50" s="10"/>
    </row>
    <row r="51" customFormat="false" ht="15.75" hidden="false" customHeight="true" outlineLevel="0" collapsed="false">
      <c r="A51" s="1" t="n">
        <v>5610</v>
      </c>
      <c r="B51" s="12" t="s">
        <v>87</v>
      </c>
      <c r="C51" s="12"/>
      <c r="D51" s="16" t="n">
        <f aca="false">SUM(E52:E53)</f>
        <v>28000</v>
      </c>
      <c r="E51" s="13"/>
      <c r="F51" s="9" t="n">
        <f aca="false">'Progress Tracker'!U51</f>
        <v>0</v>
      </c>
      <c r="G51" s="10"/>
    </row>
    <row r="52" customFormat="false" ht="15" hidden="false" customHeight="true" outlineLevel="0" collapsed="false">
      <c r="A52" s="8"/>
      <c r="B52" s="1" t="s">
        <v>88</v>
      </c>
      <c r="C52" s="1" t="s">
        <v>55</v>
      </c>
      <c r="E52" s="1" t="n">
        <v>22400</v>
      </c>
      <c r="F52" s="1" t="n">
        <f aca="false">'Progress Tracker'!U52</f>
        <v>0</v>
      </c>
    </row>
    <row r="53" customFormat="false" ht="15.75" hidden="false" customHeight="true" outlineLevel="0" collapsed="false">
      <c r="B53" s="12" t="s">
        <v>89</v>
      </c>
      <c r="C53" s="12" t="s">
        <v>48</v>
      </c>
      <c r="E53" s="12" t="n">
        <v>5600</v>
      </c>
      <c r="F53" s="1" t="n">
        <f aca="false">'Progress Tracker'!U53</f>
        <v>0</v>
      </c>
    </row>
    <row r="54" customFormat="false" ht="15" hidden="false" customHeight="true" outlineLevel="0" collapsed="false">
      <c r="A54" s="1" t="n">
        <v>5620</v>
      </c>
      <c r="B54" s="12" t="s">
        <v>90</v>
      </c>
      <c r="C54" s="12"/>
      <c r="D54" s="1" t="n">
        <f aca="false">SUM(E55:E56)</f>
        <v>50000</v>
      </c>
      <c r="E54" s="12"/>
      <c r="F54" s="1" t="n">
        <f aca="false">'Progress Tracker'!U54</f>
        <v>0</v>
      </c>
    </row>
    <row r="55" customFormat="false" ht="15" hidden="false" customHeight="true" outlineLevel="0" collapsed="false">
      <c r="A55" s="8"/>
      <c r="B55" s="1" t="s">
        <v>91</v>
      </c>
      <c r="C55" s="12" t="s">
        <v>39</v>
      </c>
      <c r="E55" s="1" t="n">
        <v>25000</v>
      </c>
      <c r="F55" s="1" t="n">
        <f aca="false">'Progress Tracker'!U55</f>
        <v>0</v>
      </c>
    </row>
    <row r="56" customFormat="false" ht="15" hidden="false" customHeight="true" outlineLevel="0" collapsed="false">
      <c r="A56" s="8"/>
      <c r="B56" s="1" t="s">
        <v>92</v>
      </c>
      <c r="C56" s="12" t="s">
        <v>55</v>
      </c>
      <c r="E56" s="1" t="n">
        <v>25000</v>
      </c>
      <c r="F56" s="1" t="n">
        <f aca="false">'Progress Tracker'!U56</f>
        <v>0</v>
      </c>
    </row>
    <row r="57" customFormat="false" ht="15" hidden="false" customHeight="true" outlineLevel="0" collapsed="false">
      <c r="A57" s="8" t="n">
        <v>5640</v>
      </c>
      <c r="B57" s="1" t="s">
        <v>93</v>
      </c>
      <c r="C57" s="12" t="s">
        <v>48</v>
      </c>
      <c r="D57" s="1" t="n">
        <v>20000</v>
      </c>
      <c r="F57" s="1" t="n">
        <f aca="false">'Progress Tracker'!U57</f>
        <v>0</v>
      </c>
    </row>
    <row r="58" customFormat="false" ht="15" hidden="false" customHeight="true" outlineLevel="0" collapsed="false">
      <c r="A58" s="1" t="n">
        <v>5630</v>
      </c>
      <c r="B58" s="1" t="s">
        <v>94</v>
      </c>
      <c r="C58" s="1" t="s">
        <v>48</v>
      </c>
      <c r="D58" s="1" t="n">
        <v>7500</v>
      </c>
      <c r="F58" s="9" t="n">
        <f aca="false">'Progress Tracker'!U58</f>
        <v>0</v>
      </c>
    </row>
    <row r="59" customFormat="false" ht="15.75" hidden="false" customHeight="true" outlineLevel="0" collapsed="false">
      <c r="A59" s="25" t="n">
        <v>5650</v>
      </c>
      <c r="B59" s="26" t="s">
        <v>95</v>
      </c>
      <c r="C59" s="26" t="s">
        <v>48</v>
      </c>
      <c r="D59" s="27" t="n">
        <v>30000</v>
      </c>
      <c r="E59" s="28"/>
      <c r="F59" s="27" t="n">
        <f aca="false">'Progress Tracker'!U59</f>
        <v>0</v>
      </c>
      <c r="G59" s="29"/>
    </row>
    <row r="60" customFormat="false" ht="15.75" hidden="false" customHeight="true" outlineLevel="0" collapsed="false"/>
    <row r="61" customFormat="false" ht="15.75" hidden="false" customHeight="true" outlineLevel="0" collapsed="false">
      <c r="A61" s="23" t="s">
        <v>96</v>
      </c>
      <c r="B61" s="30"/>
      <c r="C61" s="30"/>
      <c r="D61" s="30" t="n">
        <f aca="false">SUM(D24:D42)+D43+D47+D51+D54+D57+D58+D59</f>
        <v>513280</v>
      </c>
      <c r="E61" s="30" t="s">
        <v>35</v>
      </c>
      <c r="F61" s="30" t="n">
        <f aca="false">SUM(F24:F42)+F43+F47+F51+F54+F57+F58+F59</f>
        <v>0</v>
      </c>
      <c r="G61" s="31" t="n">
        <f aca="false">IF(D61=0,0,F61/D61)</f>
        <v>0</v>
      </c>
    </row>
    <row r="62" customFormat="false" ht="15.75" hidden="false" customHeight="true" outlineLevel="0" collapsed="false">
      <c r="B62" s="32"/>
      <c r="E62" s="13"/>
      <c r="F62" s="33"/>
    </row>
    <row r="63" customFormat="false" ht="15.75" hidden="false" customHeight="true" outlineLevel="0" collapsed="false">
      <c r="A63" s="1" t="s">
        <v>97</v>
      </c>
      <c r="B63" s="32"/>
      <c r="E63" s="13"/>
      <c r="F63" s="33"/>
    </row>
    <row r="64" customFormat="false" ht="15.75" hidden="false" customHeight="true" outlineLevel="0" collapsed="false">
      <c r="B64" s="32" t="s">
        <v>98</v>
      </c>
      <c r="E64" s="13" t="n">
        <f aca="false">SUMIF(C24:C59,"Development",D24:D59)+SUMIF(C24:C59,"Development",E24:E59)</f>
        <v>121661</v>
      </c>
      <c r="F64" s="33" t="n">
        <f aca="false">SUMIF(C24:C52,"Development",F24:F52)</f>
        <v>0</v>
      </c>
    </row>
    <row r="65" customFormat="false" ht="15.75" hidden="false" customHeight="true" outlineLevel="0" collapsed="false">
      <c r="B65" s="32" t="s">
        <v>99</v>
      </c>
      <c r="E65" s="13" t="n">
        <f aca="false">SUMIF(C24:C59,"Programs",D24:D59)+SUMIF(C24:C59,"Programs",E24:E59)</f>
        <v>174475</v>
      </c>
      <c r="F65" s="33" t="n">
        <f aca="false">SUMIF(C24:C52,"Programs",F24:F52)</f>
        <v>0</v>
      </c>
    </row>
    <row r="66" customFormat="false" ht="15.75" hidden="false" customHeight="true" outlineLevel="0" collapsed="false">
      <c r="B66" s="1" t="s">
        <v>48</v>
      </c>
      <c r="E66" s="1" t="n">
        <f aca="false">SUMIF(C24:C59,"Overhead",D24:D59)+SUMIF(C24:C59,"Overhead",E24:E59)</f>
        <v>167144</v>
      </c>
      <c r="F66" s="1" t="n">
        <f aca="false">SUMIF(C24:C52,"Overhead",F24:F52)</f>
        <v>0</v>
      </c>
    </row>
    <row r="67" customFormat="false" ht="15.75" hidden="false" customHeight="true" outlineLevel="0" collapsed="false">
      <c r="A67" s="34"/>
      <c r="B67" s="35" t="s">
        <v>78</v>
      </c>
      <c r="C67" s="35"/>
      <c r="D67" s="36"/>
      <c r="E67" s="37" t="n">
        <f aca="false">SUMIF(C24:C59,"Grantmaking",D24:D59)</f>
        <v>50000</v>
      </c>
      <c r="F67" s="38" t="n">
        <f aca="false">SUMIF(C24:C52,"Grantmaking",F24:F52)</f>
        <v>0</v>
      </c>
      <c r="G67" s="39"/>
    </row>
    <row r="68" customFormat="false" ht="15.75" hidden="false" customHeight="true" outlineLevel="0" collapsed="false"/>
    <row r="69" customFormat="false" ht="15.75" hidden="false" customHeight="true" outlineLevel="0" collapsed="false">
      <c r="A69" s="40" t="s">
        <v>100</v>
      </c>
      <c r="D69" s="1" t="n">
        <f aca="false">D21-D61</f>
        <v>3720</v>
      </c>
      <c r="E69" s="1" t="s">
        <v>35</v>
      </c>
      <c r="F69" s="1" t="n">
        <f aca="false">F21-F61</f>
        <v>71254.79</v>
      </c>
      <c r="G69" s="1" t="n">
        <f aca="false">IF(D61=0,0,F61/D61)</f>
        <v>0</v>
      </c>
    </row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mergeCells count="3">
    <mergeCell ref="A1:G1"/>
    <mergeCell ref="A5:G5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7" min="2" style="1" width="13"/>
    <col collapsed="false" customWidth="true" hidden="false" outlineLevel="0" max="8" min="8" style="1" width="13.29"/>
    <col collapsed="false" customWidth="true" hidden="false" outlineLevel="0" max="24" min="9" style="1" width="8.71"/>
  </cols>
  <sheetData>
    <row r="1" customFormat="false" ht="17.25" hidden="false" customHeight="true" outlineLevel="0" collapsed="false">
      <c r="A1" s="41" t="s">
        <v>101</v>
      </c>
      <c r="B1" s="41"/>
      <c r="C1" s="41"/>
      <c r="D1" s="41"/>
      <c r="E1" s="41"/>
      <c r="F1" s="41"/>
      <c r="G1" s="41"/>
    </row>
    <row r="3" customFormat="false" ht="15" hidden="false" customHeight="true" outlineLevel="0" collapsed="false">
      <c r="A3" s="42" t="s">
        <v>102</v>
      </c>
      <c r="B3" s="42" t="s">
        <v>103</v>
      </c>
      <c r="C3" s="42" t="s">
        <v>104</v>
      </c>
      <c r="D3" s="42" t="s">
        <v>105</v>
      </c>
      <c r="E3" s="42" t="s">
        <v>106</v>
      </c>
      <c r="F3" s="42" t="s">
        <v>107</v>
      </c>
      <c r="G3" s="42" t="s">
        <v>108</v>
      </c>
      <c r="H3" s="42" t="s">
        <v>109</v>
      </c>
      <c r="I3" s="42" t="s">
        <v>110</v>
      </c>
    </row>
    <row r="4" customFormat="false" ht="15" hidden="false" customHeight="true" outlineLevel="0" collapsed="false">
      <c r="A4" s="43" t="s">
        <v>11</v>
      </c>
      <c r="B4" s="44" t="n">
        <v>274317</v>
      </c>
      <c r="C4" s="44" t="n">
        <v>287970</v>
      </c>
      <c r="D4" s="44" t="n">
        <v>320435</v>
      </c>
      <c r="E4" s="44" t="n">
        <v>359823</v>
      </c>
      <c r="F4" s="44" t="n">
        <v>362109</v>
      </c>
      <c r="G4" s="45" t="n">
        <f aca="false">'Current Year'!D6</f>
        <v>385000</v>
      </c>
      <c r="H4" s="45" t="n">
        <f aca="false">'Progress Tracker'!U6</f>
        <v>54740</v>
      </c>
      <c r="I4" s="46" t="n">
        <f aca="false">IF(G4=0,0,H4/G4)</f>
        <v>0.142181818181818</v>
      </c>
    </row>
    <row r="5" customFormat="false" ht="15" hidden="false" customHeight="true" outlineLevel="0" collapsed="false">
      <c r="A5" s="12" t="s">
        <v>12</v>
      </c>
      <c r="B5" s="47" t="n">
        <v>0</v>
      </c>
      <c r="C5" s="47" t="n">
        <v>0</v>
      </c>
      <c r="D5" s="47" t="n">
        <v>0</v>
      </c>
      <c r="E5" s="47" t="n">
        <v>13000</v>
      </c>
      <c r="F5" s="47" t="n">
        <v>0</v>
      </c>
      <c r="G5" s="48" t="n">
        <f aca="false">'Current Year'!E7</f>
        <v>80000</v>
      </c>
      <c r="H5" s="48" t="n">
        <f aca="false">'Progress Tracker'!U7</f>
        <v>4120</v>
      </c>
      <c r="I5" s="49" t="n">
        <f aca="false">IF(G5=0,0,H5/G5)</f>
        <v>0.0515</v>
      </c>
    </row>
    <row r="6" customFormat="false" ht="15" hidden="false" customHeight="true" outlineLevel="0" collapsed="false">
      <c r="A6" s="12" t="s">
        <v>13</v>
      </c>
      <c r="B6" s="47" t="n">
        <v>0</v>
      </c>
      <c r="C6" s="47" t="n">
        <v>0</v>
      </c>
      <c r="D6" s="47" t="n">
        <v>0</v>
      </c>
      <c r="E6" s="47" t="n">
        <v>0</v>
      </c>
      <c r="F6" s="47" t="n">
        <v>0</v>
      </c>
      <c r="G6" s="48" t="n">
        <f aca="false">'Current Year'!E8</f>
        <v>20000</v>
      </c>
      <c r="H6" s="48" t="n">
        <f aca="false">'Progress Tracker'!U8</f>
        <v>1120</v>
      </c>
      <c r="I6" s="49" t="n">
        <f aca="false">IF(G6=0,0,H6/G6)</f>
        <v>0.056</v>
      </c>
    </row>
    <row r="7" customFormat="false" ht="15" hidden="false" customHeight="true" outlineLevel="0" collapsed="false">
      <c r="A7" s="12" t="s">
        <v>14</v>
      </c>
      <c r="B7" s="47" t="n">
        <v>0</v>
      </c>
      <c r="C7" s="47" t="n">
        <v>0</v>
      </c>
      <c r="D7" s="47" t="n">
        <v>0</v>
      </c>
      <c r="E7" s="47" t="n">
        <v>0</v>
      </c>
      <c r="F7" s="47" t="n">
        <v>0</v>
      </c>
      <c r="G7" s="48" t="n">
        <f aca="false">'Current Year'!E9</f>
        <v>60000</v>
      </c>
      <c r="H7" s="48" t="n">
        <f aca="false">'Progress Tracker'!U9</f>
        <v>3000</v>
      </c>
      <c r="I7" s="49" t="n">
        <f aca="false">IF(G7=0,0,H7/G7)</f>
        <v>0.05</v>
      </c>
    </row>
    <row r="8" customFormat="false" ht="15" hidden="false" customHeight="true" outlineLevel="0" collapsed="false">
      <c r="A8" s="12" t="s">
        <v>15</v>
      </c>
      <c r="B8" s="47" t="n">
        <v>200000</v>
      </c>
      <c r="C8" s="47" t="n">
        <v>205000</v>
      </c>
      <c r="D8" s="47" t="n">
        <v>200000</v>
      </c>
      <c r="E8" s="47" t="n">
        <v>250000</v>
      </c>
      <c r="F8" s="47" t="n">
        <v>175000</v>
      </c>
      <c r="G8" s="48" t="n">
        <f aca="false">'Current Year'!E10</f>
        <v>150000</v>
      </c>
      <c r="H8" s="48" t="n">
        <f aca="false">'Progress Tracker'!U10</f>
        <v>40000</v>
      </c>
      <c r="I8" s="49" t="n">
        <f aca="false">IF(G8=0,0,H8/G8)</f>
        <v>0.266666666666667</v>
      </c>
    </row>
    <row r="9" customFormat="false" ht="15" hidden="false" customHeight="true" outlineLevel="0" collapsed="false">
      <c r="A9" s="50" t="s">
        <v>16</v>
      </c>
      <c r="B9" s="44" t="n">
        <v>0</v>
      </c>
      <c r="C9" s="44" t="n">
        <v>0</v>
      </c>
      <c r="D9" s="44" t="n">
        <v>0</v>
      </c>
      <c r="E9" s="44" t="n">
        <v>0</v>
      </c>
      <c r="F9" s="44" t="n">
        <v>30000</v>
      </c>
      <c r="G9" s="45" t="n">
        <f aca="false">'Current Year'!E11</f>
        <v>100000</v>
      </c>
      <c r="H9" s="45" t="n">
        <f aca="false">'Progress Tracker'!U11</f>
        <v>0</v>
      </c>
      <c r="I9" s="51" t="n">
        <f aca="false">IF(G9=0,0,H9/G9)</f>
        <v>0</v>
      </c>
    </row>
    <row r="10" customFormat="false" ht="15" hidden="false" customHeight="true" outlineLevel="0" collapsed="false">
      <c r="A10" s="50" t="s">
        <v>17</v>
      </c>
      <c r="B10" s="44" t="n">
        <v>74317</v>
      </c>
      <c r="C10" s="44" t="n">
        <v>82970</v>
      </c>
      <c r="D10" s="44" t="n">
        <v>120435</v>
      </c>
      <c r="E10" s="44" t="n">
        <v>96823</v>
      </c>
      <c r="F10" s="44" t="n">
        <v>157109</v>
      </c>
      <c r="G10" s="45" t="n">
        <f aca="false">'Current Year'!E12</f>
        <v>55000</v>
      </c>
      <c r="H10" s="45" t="n">
        <f aca="false">'Progress Tracker'!U12</f>
        <v>10620</v>
      </c>
      <c r="I10" s="51" t="n">
        <f aca="false">IF(G10=0,0,H10/G10)</f>
        <v>0.193090909090909</v>
      </c>
    </row>
    <row r="11" customFormat="false" ht="15" hidden="false" customHeight="true" outlineLevel="0" collapsed="false">
      <c r="A11" s="50" t="s">
        <v>19</v>
      </c>
      <c r="B11" s="44" t="n">
        <v>963</v>
      </c>
      <c r="C11" s="44" t="n">
        <v>1443</v>
      </c>
      <c r="D11" s="44" t="n">
        <v>0</v>
      </c>
      <c r="E11" s="44" t="n">
        <v>0</v>
      </c>
      <c r="F11" s="44" t="n">
        <v>1100</v>
      </c>
      <c r="G11" s="45" t="n">
        <f aca="false">'Current Year'!D13</f>
        <v>2000</v>
      </c>
      <c r="H11" s="45" t="n">
        <f aca="false">'Progress Tracker'!U13</f>
        <v>0</v>
      </c>
      <c r="I11" s="51" t="n">
        <f aca="false">IF(G11=0,0,H11/G11)</f>
        <v>0</v>
      </c>
    </row>
    <row r="12" customFormat="false" ht="15" hidden="false" customHeight="true" outlineLevel="0" collapsed="false">
      <c r="A12" s="50" t="s">
        <v>21</v>
      </c>
      <c r="B12" s="44" t="n">
        <v>0</v>
      </c>
      <c r="C12" s="44" t="n">
        <v>0</v>
      </c>
      <c r="D12" s="44" t="n">
        <v>0</v>
      </c>
      <c r="E12" s="44" t="n">
        <v>0</v>
      </c>
      <c r="F12" s="44" t="n">
        <v>9323</v>
      </c>
      <c r="G12" s="45" t="n">
        <f aca="false">'Current Year'!D14</f>
        <v>20000</v>
      </c>
      <c r="H12" s="45" t="n">
        <f aca="false">'Progress Tracker'!U14</f>
        <v>0</v>
      </c>
      <c r="I12" s="51" t="n">
        <f aca="false">IF(G12=0,0,H12/G12)</f>
        <v>0</v>
      </c>
    </row>
    <row r="13" customFormat="false" ht="15" hidden="false" customHeight="true" outlineLevel="0" collapsed="false">
      <c r="A13" s="43" t="s">
        <v>23</v>
      </c>
      <c r="B13" s="44" t="n">
        <v>0</v>
      </c>
      <c r="C13" s="44" t="n">
        <v>0</v>
      </c>
      <c r="D13" s="44" t="n">
        <v>0</v>
      </c>
      <c r="E13" s="44" t="n">
        <v>0</v>
      </c>
      <c r="F13" s="44" t="n">
        <v>0</v>
      </c>
      <c r="G13" s="45" t="n">
        <f aca="false">'Current Year'!D15</f>
        <v>0</v>
      </c>
      <c r="H13" s="45" t="n">
        <f aca="false">'Progress Tracker'!U15</f>
        <v>0</v>
      </c>
      <c r="I13" s="51" t="n">
        <f aca="false">IF(G13=0,0,H13/G13)</f>
        <v>0</v>
      </c>
    </row>
    <row r="14" customFormat="false" ht="15" hidden="false" customHeight="true" outlineLevel="0" collapsed="false">
      <c r="A14" s="12" t="s">
        <v>25</v>
      </c>
      <c r="B14" s="47" t="n">
        <v>0</v>
      </c>
      <c r="C14" s="47" t="n">
        <v>0</v>
      </c>
      <c r="D14" s="47" t="n">
        <v>0</v>
      </c>
      <c r="E14" s="47" t="n">
        <v>0</v>
      </c>
      <c r="F14" s="47" t="n">
        <v>94011</v>
      </c>
      <c r="G14" s="48" t="n">
        <f aca="false">'Current Year'!D16</f>
        <v>100000</v>
      </c>
      <c r="H14" s="48" t="n">
        <f aca="false">'Progress Tracker'!U16</f>
        <v>12899.79</v>
      </c>
      <c r="I14" s="49" t="n">
        <f aca="false">IF(G14=0,0,H14/G14)</f>
        <v>0.1289979</v>
      </c>
    </row>
    <row r="15" customFormat="false" ht="15" hidden="false" customHeight="true" outlineLevel="0" collapsed="false">
      <c r="A15" s="12" t="s">
        <v>27</v>
      </c>
      <c r="B15" s="47" t="n">
        <v>0</v>
      </c>
      <c r="C15" s="47" t="n">
        <v>0</v>
      </c>
      <c r="D15" s="47" t="n">
        <v>0</v>
      </c>
      <c r="E15" s="47" t="n">
        <v>0</v>
      </c>
      <c r="F15" s="47" t="n">
        <v>6513</v>
      </c>
      <c r="G15" s="48" t="n">
        <f aca="false">'Current Year'!D17</f>
        <v>10000</v>
      </c>
      <c r="H15" s="48" t="n">
        <f aca="false">'Progress Tracker'!U17</f>
        <v>3615</v>
      </c>
      <c r="I15" s="49" t="n">
        <f aca="false">IF(G15=0,0,H15/G15)</f>
        <v>0.3615</v>
      </c>
    </row>
    <row r="16" customFormat="false" ht="15" hidden="false" customHeight="true" outlineLevel="0" collapsed="false">
      <c r="A16" s="50" t="s">
        <v>29</v>
      </c>
      <c r="B16" s="44" t="n">
        <v>0</v>
      </c>
      <c r="C16" s="44" t="n">
        <v>0</v>
      </c>
      <c r="D16" s="44" t="n">
        <v>0</v>
      </c>
      <c r="E16" s="44" t="n">
        <v>0</v>
      </c>
      <c r="F16" s="44" t="n">
        <v>0</v>
      </c>
      <c r="G16" s="45" t="n">
        <f aca="false">'Current Year'!E18</f>
        <v>5000</v>
      </c>
      <c r="H16" s="45" t="n">
        <f aca="false">'Progress Tracker'!U18</f>
        <v>3615</v>
      </c>
      <c r="I16" s="51" t="n">
        <f aca="false">IF(G16=0,0,H16/G16)</f>
        <v>0.723</v>
      </c>
    </row>
    <row r="17" customFormat="false" ht="15" hidden="false" customHeight="true" outlineLevel="0" collapsed="false">
      <c r="A17" s="1" t="s">
        <v>111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6513</v>
      </c>
      <c r="G17" s="9" t="n">
        <f aca="false">'Current Year'!E19</f>
        <v>5000</v>
      </c>
      <c r="H17" s="9" t="n">
        <f aca="false">'Progress Tracker'!U19</f>
        <v>0</v>
      </c>
      <c r="I17" s="10" t="n">
        <f aca="false">IF(G17=0,0,H17/G17)</f>
        <v>0</v>
      </c>
    </row>
    <row r="18" customFormat="false" ht="15" hidden="false" customHeight="true" outlineLevel="0" collapsed="false">
      <c r="A18" s="52" t="s">
        <v>112</v>
      </c>
      <c r="B18" s="53" t="n">
        <v>0</v>
      </c>
      <c r="C18" s="53" t="n">
        <v>0</v>
      </c>
      <c r="D18" s="53" t="n">
        <v>0</v>
      </c>
      <c r="E18" s="53" t="n">
        <v>0</v>
      </c>
      <c r="F18" s="53" t="n">
        <v>1278</v>
      </c>
      <c r="G18" s="53" t="n">
        <f aca="false">'Current Year'!D20</f>
        <v>0</v>
      </c>
      <c r="H18" s="53" t="n">
        <f aca="false">'Progress Tracker'!U20</f>
        <v>0</v>
      </c>
      <c r="I18" s="54" t="n">
        <f aca="false">IF(G18=0,0,H18/G18)</f>
        <v>0</v>
      </c>
    </row>
    <row r="20" customFormat="false" ht="15" hidden="false" customHeight="true" outlineLevel="0" collapsed="false">
      <c r="A20" s="40" t="s">
        <v>34</v>
      </c>
      <c r="B20" s="1" t="n">
        <v>275280</v>
      </c>
      <c r="C20" s="1" t="n">
        <v>289413</v>
      </c>
      <c r="D20" s="1" t="n">
        <v>320435</v>
      </c>
      <c r="E20" s="1" t="n">
        <v>359823</v>
      </c>
      <c r="F20" s="1" t="n">
        <v>474334</v>
      </c>
      <c r="G20" s="1" t="n">
        <f aca="false">'Current Year'!D21</f>
        <v>517000</v>
      </c>
      <c r="H20" s="1" t="n">
        <f aca="false">'Progress Tracker'!U21</f>
        <v>71254.79</v>
      </c>
      <c r="I20" s="1" t="n">
        <f aca="false">IF(G20=0,0,H20/G20)</f>
        <v>0.137823578336557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7" min="2" style="1" width="13"/>
    <col collapsed="false" customWidth="true" hidden="false" outlineLevel="0" max="8" min="8" style="1" width="13.29"/>
    <col collapsed="false" customWidth="true" hidden="false" outlineLevel="0" max="24" min="9" style="1" width="8.71"/>
  </cols>
  <sheetData>
    <row r="1" customFormat="false" ht="17.25" hidden="false" customHeight="true" outlineLevel="0" collapsed="false">
      <c r="A1" s="55" t="s">
        <v>113</v>
      </c>
    </row>
    <row r="2" customFormat="false" ht="15" hidden="false" customHeight="true" outlineLevel="0" collapsed="false"/>
    <row r="3" customFormat="false" ht="15" hidden="false" customHeight="true" outlineLevel="0" collapsed="false">
      <c r="A3" s="56" t="s">
        <v>114</v>
      </c>
      <c r="B3" s="57" t="s">
        <v>115</v>
      </c>
      <c r="C3" s="57" t="s">
        <v>116</v>
      </c>
      <c r="D3" s="57" t="s">
        <v>117</v>
      </c>
      <c r="E3" s="57" t="s">
        <v>118</v>
      </c>
      <c r="F3" s="57" t="s">
        <v>107</v>
      </c>
      <c r="G3" s="57" t="s">
        <v>108</v>
      </c>
      <c r="H3" s="57" t="s">
        <v>109</v>
      </c>
      <c r="I3" s="57" t="s">
        <v>110</v>
      </c>
    </row>
    <row r="4" customFormat="false" ht="15" hidden="false" customHeight="true" outlineLevel="0" collapsed="false">
      <c r="A4" s="58" t="s">
        <v>36</v>
      </c>
      <c r="B4" s="59"/>
      <c r="C4" s="59"/>
      <c r="D4" s="59"/>
      <c r="E4" s="59"/>
      <c r="F4" s="59"/>
      <c r="G4" s="59"/>
      <c r="H4" s="60"/>
      <c r="I4" s="61"/>
    </row>
    <row r="5" customFormat="false" ht="15" hidden="false" customHeight="true" outlineLevel="0" collapsed="false">
      <c r="A5" s="62" t="s">
        <v>38</v>
      </c>
      <c r="B5" s="63" t="n">
        <v>0</v>
      </c>
      <c r="C5" s="63" t="n">
        <v>0</v>
      </c>
      <c r="D5" s="63" t="n">
        <v>0</v>
      </c>
      <c r="E5" s="63" t="n">
        <v>0</v>
      </c>
      <c r="F5" s="63" t="n">
        <v>275</v>
      </c>
      <c r="G5" s="64" t="n">
        <f aca="false">'Current Year'!D24</f>
        <v>300</v>
      </c>
      <c r="H5" s="65" t="n">
        <f aca="false">'Progress Tracker'!U24</f>
        <v>0</v>
      </c>
      <c r="I5" s="51" t="n">
        <f aca="false">IF(G5=0,0,H5/G5)</f>
        <v>0</v>
      </c>
    </row>
    <row r="6" customFormat="false" ht="15" hidden="false" customHeight="true" outlineLevel="0" collapsed="false">
      <c r="A6" s="62" t="s">
        <v>41</v>
      </c>
      <c r="B6" s="63" t="n">
        <v>0</v>
      </c>
      <c r="C6" s="63" t="n">
        <v>0</v>
      </c>
      <c r="D6" s="63" t="n">
        <v>0</v>
      </c>
      <c r="E6" s="63" t="n">
        <v>0</v>
      </c>
      <c r="F6" s="63" t="n">
        <v>218</v>
      </c>
      <c r="G6" s="64" t="n">
        <f aca="false">'Current Year'!D25</f>
        <v>300</v>
      </c>
      <c r="H6" s="66" t="n">
        <f aca="false">'Progress Tracker'!U25</f>
        <v>0</v>
      </c>
      <c r="I6" s="51" t="n">
        <f aca="false">IF(G6=0,0,H6/G6)</f>
        <v>0</v>
      </c>
    </row>
    <row r="7" customFormat="false" ht="15" hidden="false" customHeight="true" outlineLevel="0" collapsed="false">
      <c r="A7" s="67" t="s">
        <v>43</v>
      </c>
      <c r="B7" s="63" t="n">
        <v>0</v>
      </c>
      <c r="C7" s="63" t="n">
        <v>0</v>
      </c>
      <c r="D7" s="63" t="n">
        <v>0</v>
      </c>
      <c r="E7" s="63" t="n">
        <v>0</v>
      </c>
      <c r="F7" s="63" t="n">
        <v>3011</v>
      </c>
      <c r="G7" s="64" t="n">
        <f aca="false">'Current Year'!D26</f>
        <v>10000</v>
      </c>
      <c r="H7" s="66" t="n">
        <f aca="false">'Progress Tracker'!U26</f>
        <v>0</v>
      </c>
      <c r="I7" s="51" t="n">
        <f aca="false">IF(G7=0,0,H7/G7)</f>
        <v>0</v>
      </c>
    </row>
    <row r="8" customFormat="false" ht="15" hidden="false" customHeight="true" outlineLevel="0" collapsed="false">
      <c r="A8" s="62" t="s">
        <v>45</v>
      </c>
      <c r="B8" s="63" t="n">
        <v>0</v>
      </c>
      <c r="C8" s="63" t="n">
        <v>0</v>
      </c>
      <c r="D8" s="63" t="n">
        <v>0</v>
      </c>
      <c r="E8" s="63" t="n">
        <v>0</v>
      </c>
      <c r="F8" s="63" t="n">
        <v>27273</v>
      </c>
      <c r="G8" s="64" t="n">
        <f aca="false">'Current Year'!D27</f>
        <v>25000</v>
      </c>
      <c r="H8" s="65" t="n">
        <f aca="false">'Progress Tracker'!U27</f>
        <v>0</v>
      </c>
      <c r="I8" s="51" t="n">
        <f aca="false">IF(G8=0,0,H8/G8)</f>
        <v>0</v>
      </c>
    </row>
    <row r="9" customFormat="false" ht="15" hidden="false" customHeight="true" outlineLevel="0" collapsed="false">
      <c r="A9" s="62" t="s">
        <v>47</v>
      </c>
      <c r="B9" s="63" t="n">
        <v>0</v>
      </c>
      <c r="C9" s="63" t="n">
        <v>0</v>
      </c>
      <c r="D9" s="63" t="n">
        <v>0</v>
      </c>
      <c r="E9" s="63" t="n">
        <v>0</v>
      </c>
      <c r="F9" s="63" t="n">
        <v>4345</v>
      </c>
      <c r="G9" s="64" t="n">
        <f aca="false">'Current Year'!D28</f>
        <v>4500</v>
      </c>
      <c r="H9" s="65" t="n">
        <f aca="false">'Progress Tracker'!U28</f>
        <v>0</v>
      </c>
      <c r="I9" s="51" t="n">
        <f aca="false">IF(G9=0,0,H9/G9)</f>
        <v>0</v>
      </c>
    </row>
    <row r="10" customFormat="false" ht="15" hidden="false" customHeight="true" outlineLevel="0" collapsed="false">
      <c r="A10" s="62" t="s">
        <v>50</v>
      </c>
      <c r="B10" s="63" t="n">
        <v>0</v>
      </c>
      <c r="C10" s="63" t="n">
        <v>0</v>
      </c>
      <c r="D10" s="63" t="n">
        <v>0</v>
      </c>
      <c r="E10" s="63" t="n">
        <v>0</v>
      </c>
      <c r="F10" s="63" t="n">
        <v>6808</v>
      </c>
      <c r="G10" s="64" t="n">
        <f aca="false">'Current Year'!D29</f>
        <v>7000</v>
      </c>
      <c r="H10" s="65" t="n">
        <f aca="false">'Progress Tracker'!U29</f>
        <v>0</v>
      </c>
      <c r="I10" s="51" t="n">
        <f aca="false">IF(G10=0,0,H10/G10)</f>
        <v>0</v>
      </c>
    </row>
    <row r="11" customFormat="false" ht="15" hidden="false" customHeight="true" outlineLevel="0" collapsed="false">
      <c r="A11" s="62" t="s">
        <v>52</v>
      </c>
      <c r="B11" s="63" t="n">
        <v>0</v>
      </c>
      <c r="C11" s="63" t="n">
        <v>0</v>
      </c>
      <c r="D11" s="63" t="n">
        <v>0</v>
      </c>
      <c r="E11" s="63" t="n">
        <v>0</v>
      </c>
      <c r="F11" s="63" t="n">
        <v>2181</v>
      </c>
      <c r="G11" s="64" t="n">
        <f aca="false">'Current Year'!D30</f>
        <v>3500</v>
      </c>
      <c r="H11" s="65" t="n">
        <f aca="false">'Progress Tracker'!U30</f>
        <v>0</v>
      </c>
      <c r="I11" s="51" t="n">
        <f aca="false">IF(G11=0,0,H11/G11)</f>
        <v>0</v>
      </c>
    </row>
    <row r="12" customFormat="false" ht="15" hidden="false" customHeight="true" outlineLevel="0" collapsed="false">
      <c r="A12" s="62" t="s">
        <v>54</v>
      </c>
      <c r="B12" s="63" t="n">
        <v>0</v>
      </c>
      <c r="C12" s="63" t="n">
        <v>0</v>
      </c>
      <c r="D12" s="63" t="n">
        <v>0</v>
      </c>
      <c r="E12" s="63" t="n">
        <v>0</v>
      </c>
      <c r="F12" s="63" t="n">
        <v>1309</v>
      </c>
      <c r="G12" s="64" t="n">
        <f aca="false">'Current Year'!D31</f>
        <v>2500</v>
      </c>
      <c r="H12" s="65" t="n">
        <f aca="false">'Progress Tracker'!U31</f>
        <v>0</v>
      </c>
      <c r="I12" s="51" t="n">
        <f aca="false">IF(G12=0,0,H12/G12)</f>
        <v>0</v>
      </c>
    </row>
    <row r="13" customFormat="false" ht="15" hidden="false" customHeight="true" outlineLevel="0" collapsed="false">
      <c r="A13" s="62" t="s">
        <v>57</v>
      </c>
      <c r="B13" s="68" t="n">
        <v>0</v>
      </c>
      <c r="C13" s="68" t="n">
        <v>0</v>
      </c>
      <c r="D13" s="68" t="n">
        <v>0</v>
      </c>
      <c r="E13" s="68" t="n">
        <v>0</v>
      </c>
      <c r="F13" s="68" t="n">
        <v>350</v>
      </c>
      <c r="G13" s="53" t="n">
        <f aca="false">'Current Year'!D32</f>
        <v>350</v>
      </c>
      <c r="H13" s="69" t="n">
        <f aca="false">'Progress Tracker'!U32</f>
        <v>0</v>
      </c>
      <c r="I13" s="70" t="n">
        <f aca="false">IF(G13=0,0,H13/G13)</f>
        <v>0</v>
      </c>
    </row>
    <row r="14" customFormat="false" ht="15" hidden="false" customHeight="true" outlineLevel="0" collapsed="false">
      <c r="A14" s="62" t="s">
        <v>59</v>
      </c>
      <c r="B14" s="63" t="n">
        <v>0</v>
      </c>
      <c r="C14" s="63" t="n">
        <v>0</v>
      </c>
      <c r="D14" s="63" t="n">
        <v>0</v>
      </c>
      <c r="E14" s="63" t="n">
        <v>0</v>
      </c>
      <c r="F14" s="63" t="n">
        <v>3220</v>
      </c>
      <c r="G14" s="64" t="n">
        <f aca="false">'Current Year'!D33</f>
        <v>3300</v>
      </c>
      <c r="H14" s="66" t="n">
        <f aca="false">'Progress Tracker'!U33</f>
        <v>0</v>
      </c>
      <c r="I14" s="51" t="n">
        <f aca="false">IF(G14=0,0,H14/G14)</f>
        <v>0</v>
      </c>
    </row>
    <row r="15" customFormat="false" ht="15" hidden="false" customHeight="true" outlineLevel="0" collapsed="false">
      <c r="A15" s="67" t="s">
        <v>61</v>
      </c>
      <c r="B15" s="63" t="n">
        <v>0</v>
      </c>
      <c r="C15" s="63" t="n">
        <v>0</v>
      </c>
      <c r="D15" s="63" t="n">
        <v>0</v>
      </c>
      <c r="E15" s="63" t="n">
        <v>0</v>
      </c>
      <c r="F15" s="63" t="n">
        <v>200</v>
      </c>
      <c r="G15" s="64" t="n">
        <f aca="false">'Current Year'!D34</f>
        <v>200</v>
      </c>
      <c r="H15" s="66" t="n">
        <f aca="false">'Progress Tracker'!U34</f>
        <v>0</v>
      </c>
      <c r="I15" s="51" t="n">
        <f aca="false">IF(G15=0,0,H15/G15)</f>
        <v>0</v>
      </c>
    </row>
    <row r="16" customFormat="false" ht="15" hidden="false" customHeight="true" outlineLevel="0" collapsed="false">
      <c r="A16" s="62" t="s">
        <v>63</v>
      </c>
      <c r="B16" s="63" t="n">
        <v>0</v>
      </c>
      <c r="C16" s="63" t="n">
        <v>0</v>
      </c>
      <c r="D16" s="63" t="n">
        <v>0</v>
      </c>
      <c r="E16" s="63" t="n">
        <v>0</v>
      </c>
      <c r="F16" s="63" t="n">
        <v>22672</v>
      </c>
      <c r="G16" s="64" t="n">
        <f aca="false">'Current Year'!D35</f>
        <v>18000</v>
      </c>
      <c r="H16" s="65" t="n">
        <f aca="false">'Progress Tracker'!U35</f>
        <v>0</v>
      </c>
      <c r="I16" s="51" t="n">
        <f aca="false">IF(G16=0,0,H16/G16)</f>
        <v>0</v>
      </c>
    </row>
    <row r="17" customFormat="false" ht="15" hidden="false" customHeight="true" outlineLevel="0" collapsed="false">
      <c r="A17" s="62" t="s">
        <v>65</v>
      </c>
      <c r="B17" s="63" t="n">
        <v>0</v>
      </c>
      <c r="C17" s="63" t="n">
        <v>0</v>
      </c>
      <c r="D17" s="63" t="n">
        <v>0</v>
      </c>
      <c r="E17" s="63" t="n">
        <v>0</v>
      </c>
      <c r="F17" s="63" t="n">
        <v>300</v>
      </c>
      <c r="G17" s="64" t="n">
        <f aca="false">'Current Year'!D36</f>
        <v>300</v>
      </c>
      <c r="H17" s="65" t="n">
        <f aca="false">'Progress Tracker'!U36</f>
        <v>0</v>
      </c>
      <c r="I17" s="51" t="n">
        <f aca="false">IF(G17=0,0,H17/G17)</f>
        <v>0</v>
      </c>
    </row>
    <row r="18" customFormat="false" ht="15" hidden="false" customHeight="true" outlineLevel="0" collapsed="false">
      <c r="A18" s="62" t="s">
        <v>67</v>
      </c>
      <c r="B18" s="63" t="n">
        <v>0</v>
      </c>
      <c r="C18" s="63" t="n">
        <v>0</v>
      </c>
      <c r="D18" s="63" t="n">
        <v>0</v>
      </c>
      <c r="E18" s="63" t="n">
        <v>0</v>
      </c>
      <c r="F18" s="63" t="n">
        <v>1650</v>
      </c>
      <c r="G18" s="64" t="n">
        <f aca="false">'Current Year'!D37</f>
        <v>1800</v>
      </c>
      <c r="H18" s="65" t="n">
        <f aca="false">'Progress Tracker'!U37</f>
        <v>0</v>
      </c>
      <c r="I18" s="51" t="n">
        <f aca="false">IF(G18=0,0,H18/G18)</f>
        <v>0</v>
      </c>
    </row>
    <row r="19" customFormat="false" ht="15" hidden="false" customHeight="true" outlineLevel="0" collapsed="false">
      <c r="A19" s="62" t="s">
        <v>69</v>
      </c>
      <c r="B19" s="63" t="n">
        <v>0</v>
      </c>
      <c r="C19" s="63" t="n">
        <v>0</v>
      </c>
      <c r="D19" s="63" t="n">
        <v>0</v>
      </c>
      <c r="E19" s="63" t="n">
        <v>0</v>
      </c>
      <c r="F19" s="63" t="n">
        <v>7830</v>
      </c>
      <c r="G19" s="64" t="n">
        <f aca="false">'Current Year'!D38</f>
        <v>5000</v>
      </c>
      <c r="H19" s="65" t="n">
        <f aca="false">'Progress Tracker'!U38</f>
        <v>0</v>
      </c>
      <c r="I19" s="51" t="n">
        <f aca="false">IF(G19=0,0,H19/G19)</f>
        <v>0</v>
      </c>
    </row>
    <row r="20" customFormat="false" ht="15" hidden="false" customHeight="true" outlineLevel="0" collapsed="false">
      <c r="A20" s="62" t="s">
        <v>71</v>
      </c>
      <c r="B20" s="63" t="n">
        <v>0</v>
      </c>
      <c r="C20" s="63" t="n">
        <v>0</v>
      </c>
      <c r="D20" s="63" t="n">
        <v>0</v>
      </c>
      <c r="E20" s="63" t="n">
        <v>0</v>
      </c>
      <c r="F20" s="63" t="n">
        <v>1800</v>
      </c>
      <c r="G20" s="64" t="n">
        <f aca="false">'Current Year'!D39</f>
        <v>1800</v>
      </c>
      <c r="H20" s="65" t="n">
        <f aca="false">'Progress Tracker'!U39</f>
        <v>0</v>
      </c>
      <c r="I20" s="51" t="n">
        <f aca="false">IF(G20=0,0,H20/G20)</f>
        <v>0</v>
      </c>
    </row>
    <row r="21" customFormat="false" ht="15" hidden="false" customHeight="true" outlineLevel="0" collapsed="false">
      <c r="A21" s="62" t="s">
        <v>73</v>
      </c>
      <c r="B21" s="71" t="n">
        <v>0</v>
      </c>
      <c r="C21" s="71" t="n">
        <v>0</v>
      </c>
      <c r="D21" s="71" t="n">
        <v>0</v>
      </c>
      <c r="E21" s="71" t="n">
        <v>0</v>
      </c>
      <c r="F21" s="71" t="n">
        <v>1000</v>
      </c>
      <c r="G21" s="66" t="n">
        <f aca="false">'Current Year'!D40</f>
        <v>1000</v>
      </c>
      <c r="H21" s="66" t="n">
        <f aca="false">'Progress Tracker'!U40</f>
        <v>0</v>
      </c>
      <c r="I21" s="72" t="n">
        <f aca="false">IF(G21=0,0,H21/G21)</f>
        <v>0</v>
      </c>
    </row>
    <row r="22" customFormat="false" ht="15.75" hidden="false" customHeight="true" outlineLevel="0" collapsed="false">
      <c r="A22" s="62" t="s">
        <v>75</v>
      </c>
      <c r="B22" s="68" t="n">
        <v>0</v>
      </c>
      <c r="C22" s="68" t="n">
        <v>0</v>
      </c>
      <c r="D22" s="68" t="n">
        <v>0</v>
      </c>
      <c r="E22" s="68" t="n">
        <v>0</v>
      </c>
      <c r="F22" s="68" t="n">
        <v>250</v>
      </c>
      <c r="G22" s="53" t="n">
        <f aca="false">'Current Year'!D41</f>
        <v>250</v>
      </c>
      <c r="H22" s="69" t="n">
        <f aca="false">'Progress Tracker'!U41</f>
        <v>0</v>
      </c>
      <c r="I22" s="70" t="n">
        <f aca="false">IF(G22=0,0,H22/G22)</f>
        <v>0</v>
      </c>
    </row>
    <row r="23" customFormat="false" ht="15" hidden="false" customHeight="true" outlineLevel="0" collapsed="false">
      <c r="A23" s="62" t="s">
        <v>77</v>
      </c>
      <c r="B23" s="63" t="n">
        <v>79973</v>
      </c>
      <c r="C23" s="63" t="n">
        <v>55570</v>
      </c>
      <c r="D23" s="63" t="n">
        <v>57000</v>
      </c>
      <c r="E23" s="63" t="n">
        <v>79800</v>
      </c>
      <c r="F23" s="63" t="n">
        <v>31603</v>
      </c>
      <c r="G23" s="64" t="n">
        <f aca="false">'Current Year'!D42</f>
        <v>50000</v>
      </c>
      <c r="H23" s="66" t="n">
        <f aca="false">'Progress Tracker'!U42</f>
        <v>0</v>
      </c>
      <c r="I23" s="51" t="n">
        <f aca="false">IF(G23=0,0,H23/G23)</f>
        <v>0</v>
      </c>
    </row>
    <row r="24" customFormat="false" ht="15" hidden="false" customHeight="true" outlineLevel="0" collapsed="false">
      <c r="A24" s="67" t="s">
        <v>79</v>
      </c>
      <c r="B24" s="73"/>
      <c r="C24" s="73"/>
      <c r="D24" s="73"/>
      <c r="E24" s="73"/>
      <c r="F24" s="73"/>
      <c r="G24" s="64" t="n">
        <f aca="false">'Current Year'!D43</f>
        <v>183967</v>
      </c>
      <c r="H24" s="66" t="n">
        <f aca="false">'Progress Tracker'!U43</f>
        <v>0</v>
      </c>
      <c r="I24" s="51" t="n">
        <f aca="false">IF(G24=0,0,H24/G24)</f>
        <v>0</v>
      </c>
    </row>
    <row r="25" customFormat="false" ht="15" hidden="false" customHeight="true" outlineLevel="0" collapsed="false">
      <c r="A25" s="12" t="s">
        <v>80</v>
      </c>
      <c r="B25" s="74"/>
      <c r="C25" s="74"/>
      <c r="D25" s="74"/>
      <c r="E25" s="74"/>
      <c r="F25" s="74"/>
      <c r="G25" s="64" t="n">
        <f aca="false">'Current Year'!E44</f>
        <v>55190</v>
      </c>
      <c r="H25" s="65" t="n">
        <f aca="false">'Progress Tracker'!U44</f>
        <v>0</v>
      </c>
      <c r="I25" s="51" t="n">
        <f aca="false">IF(G25=0,0,H25/G25)</f>
        <v>0</v>
      </c>
    </row>
    <row r="26" customFormat="false" ht="15" hidden="false" customHeight="true" outlineLevel="0" collapsed="false">
      <c r="A26" s="12" t="s">
        <v>81</v>
      </c>
      <c r="B26" s="74"/>
      <c r="C26" s="74"/>
      <c r="D26" s="74"/>
      <c r="E26" s="74"/>
      <c r="F26" s="74"/>
      <c r="G26" s="64" t="n">
        <f aca="false">'Current Year'!E45</f>
        <v>55190</v>
      </c>
      <c r="H26" s="65" t="n">
        <f aca="false">'Progress Tracker'!U45</f>
        <v>0</v>
      </c>
      <c r="I26" s="51" t="n">
        <f aca="false">IF(G26=0,0,H26/G26)</f>
        <v>0</v>
      </c>
    </row>
    <row r="27" customFormat="false" ht="15" hidden="false" customHeight="true" outlineLevel="0" collapsed="false">
      <c r="A27" s="12" t="s">
        <v>82</v>
      </c>
      <c r="B27" s="74"/>
      <c r="C27" s="74"/>
      <c r="D27" s="74"/>
      <c r="E27" s="74"/>
      <c r="F27" s="74"/>
      <c r="G27" s="64" t="n">
        <f aca="false">'Current Year'!E46</f>
        <v>73587</v>
      </c>
      <c r="H27" s="65" t="n">
        <f aca="false">'Progress Tracker'!U46</f>
        <v>0</v>
      </c>
      <c r="I27" s="51" t="n">
        <f aca="false">IF(G27=0,0,H27/G27)</f>
        <v>0</v>
      </c>
    </row>
    <row r="28" customFormat="false" ht="15" hidden="false" customHeight="true" outlineLevel="0" collapsed="false">
      <c r="A28" s="62" t="s">
        <v>83</v>
      </c>
      <c r="B28" s="74"/>
      <c r="C28" s="74"/>
      <c r="D28" s="74"/>
      <c r="E28" s="74"/>
      <c r="F28" s="74"/>
      <c r="G28" s="64" t="n">
        <f aca="false">'Current Year'!D47</f>
        <v>58713</v>
      </c>
      <c r="H28" s="65" t="n">
        <f aca="false">'Progress Tracker'!U47</f>
        <v>0</v>
      </c>
      <c r="I28" s="51" t="n">
        <f aca="false">IF(G28=0,0,H28/G28)</f>
        <v>0</v>
      </c>
    </row>
    <row r="29" customFormat="false" ht="15" hidden="false" customHeight="true" outlineLevel="0" collapsed="false">
      <c r="A29" s="12" t="s">
        <v>84</v>
      </c>
      <c r="B29" s="74"/>
      <c r="C29" s="74"/>
      <c r="D29" s="74"/>
      <c r="E29" s="74"/>
      <c r="F29" s="74"/>
      <c r="G29" s="64" t="n">
        <f aca="false">'Current Year'!E48</f>
        <v>5871</v>
      </c>
      <c r="H29" s="65" t="n">
        <f aca="false">'Progress Tracker'!U48</f>
        <v>0</v>
      </c>
      <c r="I29" s="51" t="n">
        <f aca="false">IF(G29=0,0,H29/G29)</f>
        <v>0</v>
      </c>
    </row>
    <row r="30" customFormat="false" ht="15" hidden="false" customHeight="true" outlineLevel="0" collapsed="false">
      <c r="A30" s="12" t="s">
        <v>85</v>
      </c>
      <c r="B30" s="74"/>
      <c r="C30" s="74"/>
      <c r="D30" s="74"/>
      <c r="E30" s="74"/>
      <c r="F30" s="74"/>
      <c r="G30" s="64" t="n">
        <f aca="false">'Current Year'!E49</f>
        <v>44035</v>
      </c>
      <c r="H30" s="65" t="n">
        <f aca="false">'Progress Tracker'!U49</f>
        <v>0</v>
      </c>
      <c r="I30" s="51" t="n">
        <f aca="false">IF(G30=0,0,H30/G30)</f>
        <v>0</v>
      </c>
    </row>
    <row r="31" customFormat="false" ht="15.75" hidden="false" customHeight="true" outlineLevel="0" collapsed="false">
      <c r="A31" s="12" t="s">
        <v>86</v>
      </c>
      <c r="B31" s="75"/>
      <c r="C31" s="75"/>
      <c r="D31" s="75"/>
      <c r="E31" s="75"/>
      <c r="F31" s="75"/>
      <c r="G31" s="53" t="n">
        <f aca="false">'Current Year'!E50</f>
        <v>8807</v>
      </c>
      <c r="H31" s="69" t="n">
        <f aca="false">'Progress Tracker'!U50</f>
        <v>0</v>
      </c>
      <c r="I31" s="70" t="n">
        <f aca="false">IF(G31=0,0,H31/G31)</f>
        <v>0</v>
      </c>
    </row>
    <row r="32" customFormat="false" ht="15" hidden="false" customHeight="true" outlineLevel="0" collapsed="false">
      <c r="A32" s="62" t="s">
        <v>87</v>
      </c>
      <c r="B32" s="76"/>
      <c r="C32" s="76"/>
      <c r="D32" s="76"/>
      <c r="E32" s="76"/>
      <c r="F32" s="76"/>
      <c r="G32" s="77" t="n">
        <f aca="false">'Current Year'!D51</f>
        <v>28000</v>
      </c>
      <c r="H32" s="66" t="n">
        <f aca="false">'Progress Tracker'!U51</f>
        <v>0</v>
      </c>
      <c r="I32" s="72" t="n">
        <f aca="false">IF(G32=0,0,H32/G32)</f>
        <v>0</v>
      </c>
    </row>
    <row r="33" customFormat="false" ht="15.75" hidden="false" customHeight="true" outlineLevel="0" collapsed="false">
      <c r="A33" s="78" t="s">
        <v>88</v>
      </c>
      <c r="B33" s="75"/>
      <c r="C33" s="75"/>
      <c r="D33" s="75"/>
      <c r="E33" s="75"/>
      <c r="F33" s="75"/>
      <c r="G33" s="53" t="n">
        <f aca="false">'Current Year'!E52</f>
        <v>22400</v>
      </c>
      <c r="H33" s="53" t="n">
        <f aca="false">'Progress Tracker'!U52</f>
        <v>0</v>
      </c>
      <c r="I33" s="54" t="n">
        <f aca="false">IF(G33=0,0,H33/G33)</f>
        <v>0</v>
      </c>
    </row>
    <row r="34" customFormat="false" ht="15.75" hidden="false" customHeight="true" outlineLevel="0" collapsed="false">
      <c r="A34" s="79" t="s">
        <v>89</v>
      </c>
      <c r="B34" s="80"/>
      <c r="C34" s="80"/>
      <c r="D34" s="80"/>
      <c r="E34" s="80"/>
      <c r="F34" s="80"/>
      <c r="G34" s="81" t="n">
        <f aca="false">'Current Year'!E53</f>
        <v>5600</v>
      </c>
      <c r="H34" s="81" t="n">
        <f aca="false">'Progress Tracker'!U53</f>
        <v>0</v>
      </c>
      <c r="I34" s="82" t="n">
        <f aca="false">IF(G34=0,0,H34/G34)</f>
        <v>0</v>
      </c>
    </row>
    <row r="35" customFormat="false" ht="15.75" hidden="false" customHeight="true" outlineLevel="0" collapsed="false">
      <c r="A35" s="83" t="s">
        <v>90</v>
      </c>
      <c r="B35" s="80"/>
      <c r="C35" s="80"/>
      <c r="D35" s="80"/>
      <c r="E35" s="80"/>
      <c r="F35" s="80"/>
      <c r="G35" s="81" t="n">
        <f aca="false">'Current Year'!D54</f>
        <v>50000</v>
      </c>
      <c r="H35" s="81" t="n">
        <f aca="false">'Progress Tracker'!U54</f>
        <v>0</v>
      </c>
      <c r="I35" s="82" t="n">
        <f aca="false">IF(G35=0,0,H35/G35)</f>
        <v>0</v>
      </c>
    </row>
    <row r="36" customFormat="false" ht="15.75" hidden="false" customHeight="true" outlineLevel="0" collapsed="false">
      <c r="A36" s="79" t="s">
        <v>91</v>
      </c>
      <c r="B36" s="80"/>
      <c r="C36" s="80"/>
      <c r="D36" s="80"/>
      <c r="E36" s="80"/>
      <c r="F36" s="80"/>
      <c r="G36" s="81" t="n">
        <f aca="false">'Current Year'!E55</f>
        <v>25000</v>
      </c>
      <c r="H36" s="81" t="n">
        <f aca="false">'Progress Tracker'!U55</f>
        <v>0</v>
      </c>
      <c r="I36" s="82" t="n">
        <f aca="false">IF(G36=0,0,H36/G36)</f>
        <v>0</v>
      </c>
    </row>
    <row r="37" customFormat="false" ht="15.75" hidden="false" customHeight="true" outlineLevel="0" collapsed="false">
      <c r="A37" s="79" t="s">
        <v>92</v>
      </c>
      <c r="B37" s="80"/>
      <c r="C37" s="80"/>
      <c r="D37" s="80"/>
      <c r="E37" s="80"/>
      <c r="F37" s="80"/>
      <c r="G37" s="81" t="n">
        <f aca="false">'Current Year'!E56</f>
        <v>25000</v>
      </c>
      <c r="H37" s="81" t="n">
        <f aca="false">'Progress Tracker'!U56</f>
        <v>0</v>
      </c>
      <c r="I37" s="82" t="n">
        <f aca="false">IF(G37=0,0,H37/G37)</f>
        <v>0</v>
      </c>
    </row>
    <row r="38" customFormat="false" ht="15.75" hidden="false" customHeight="true" outlineLevel="0" collapsed="false">
      <c r="A38" s="83" t="s">
        <v>93</v>
      </c>
      <c r="B38" s="80"/>
      <c r="C38" s="80"/>
      <c r="D38" s="80"/>
      <c r="E38" s="80"/>
      <c r="F38" s="80"/>
      <c r="G38" s="81" t="n">
        <f aca="false">'Current Year'!D57</f>
        <v>20000</v>
      </c>
      <c r="H38" s="81" t="n">
        <f aca="false">'Progress Tracker'!U57</f>
        <v>0</v>
      </c>
      <c r="I38" s="82" t="n">
        <f aca="false">IF(G38=0,0,H38/G38)</f>
        <v>0</v>
      </c>
    </row>
    <row r="39" customFormat="false" ht="15.75" hidden="false" customHeight="true" outlineLevel="0" collapsed="false">
      <c r="A39" s="83" t="s">
        <v>94</v>
      </c>
      <c r="B39" s="80"/>
      <c r="C39" s="80"/>
      <c r="D39" s="80"/>
      <c r="E39" s="80"/>
      <c r="F39" s="80"/>
      <c r="G39" s="81" t="n">
        <f aca="false">'Current Year'!D58</f>
        <v>7500</v>
      </c>
      <c r="H39" s="81" t="n">
        <f aca="false">'Progress Tracker'!U58</f>
        <v>0</v>
      </c>
      <c r="I39" s="82" t="n">
        <f aca="false">IF(G39=0,0,H39/G39)</f>
        <v>0</v>
      </c>
    </row>
    <row r="40" customFormat="false" ht="15.75" hidden="false" customHeight="true" outlineLevel="0" collapsed="false">
      <c r="A40" s="83" t="s">
        <v>95</v>
      </c>
      <c r="B40" s="80"/>
      <c r="C40" s="80"/>
      <c r="D40" s="80"/>
      <c r="E40" s="80"/>
      <c r="F40" s="80"/>
      <c r="G40" s="81" t="n">
        <f aca="false">'Current Year'!D59</f>
        <v>30000</v>
      </c>
      <c r="H40" s="81" t="n">
        <f aca="false">'Progress Tracker'!U59</f>
        <v>0</v>
      </c>
      <c r="I40" s="82" t="n">
        <f aca="false">IF(G40=0,0,H40/G40)</f>
        <v>0</v>
      </c>
    </row>
    <row r="41" customFormat="false" ht="15.75" hidden="false" customHeight="true" outlineLevel="0" collapsed="false">
      <c r="A41" s="12"/>
      <c r="H41" s="9"/>
    </row>
    <row r="42" customFormat="false" ht="15.75" hidden="false" customHeight="true" outlineLevel="0" collapsed="false">
      <c r="A42" s="84" t="s">
        <v>96</v>
      </c>
      <c r="B42" s="85" t="n">
        <v>233659</v>
      </c>
      <c r="C42" s="85" t="n">
        <v>283505</v>
      </c>
      <c r="D42" s="85" t="n">
        <v>339841</v>
      </c>
      <c r="E42" s="85" t="n">
        <v>370306</v>
      </c>
      <c r="F42" s="85" t="n">
        <v>437423</v>
      </c>
      <c r="G42" s="85" t="n">
        <f aca="false">'Current Year'!D61</f>
        <v>513280</v>
      </c>
      <c r="H42" s="85" t="n">
        <f aca="false">'Progress Tracker'!U60</f>
        <v>0</v>
      </c>
      <c r="I42" s="60" t="n">
        <f aca="false">IF(G42=0,0,H42/G42)</f>
        <v>0</v>
      </c>
    </row>
    <row r="43" customFormat="false" ht="15.75" hidden="false" customHeight="true" outlineLevel="0" collapsed="false">
      <c r="A43" s="12"/>
    </row>
    <row r="44" customFormat="false" ht="15.75" hidden="false" customHeight="true" outlineLevel="0" collapsed="false">
      <c r="A44" s="84" t="s">
        <v>97</v>
      </c>
      <c r="B44" s="60"/>
      <c r="C44" s="60"/>
      <c r="D44" s="60"/>
      <c r="E44" s="60"/>
      <c r="F44" s="60"/>
      <c r="G44" s="60"/>
      <c r="H44" s="60"/>
      <c r="I44" s="60"/>
    </row>
    <row r="45" customFormat="false" ht="15.75" hidden="false" customHeight="true" outlineLevel="0" collapsed="false">
      <c r="A45" s="62" t="s">
        <v>98</v>
      </c>
      <c r="B45" s="71" t="n">
        <v>21341</v>
      </c>
      <c r="C45" s="71" t="n">
        <v>31773</v>
      </c>
      <c r="D45" s="71" t="n">
        <v>19862</v>
      </c>
      <c r="E45" s="71" t="n">
        <v>33964</v>
      </c>
      <c r="F45" s="71" t="n">
        <v>177910</v>
      </c>
      <c r="G45" s="9" t="n">
        <f aca="false">'Current Year'!E64</f>
        <v>121661</v>
      </c>
    </row>
    <row r="46" customFormat="false" ht="15.75" hidden="false" customHeight="true" outlineLevel="0" collapsed="false">
      <c r="A46" s="62" t="s">
        <v>99</v>
      </c>
      <c r="B46" s="71" t="n">
        <v>0</v>
      </c>
      <c r="C46" s="71" t="n">
        <v>0</v>
      </c>
      <c r="D46" s="71" t="n">
        <v>0</v>
      </c>
      <c r="E46" s="71" t="n">
        <v>114416</v>
      </c>
      <c r="F46" s="71" t="n">
        <v>173736</v>
      </c>
      <c r="G46" s="9" t="n">
        <f aca="false">'Current Year'!E65</f>
        <v>174475</v>
      </c>
    </row>
    <row r="47" customFormat="false" ht="15.75" hidden="false" customHeight="true" outlineLevel="0" collapsed="false">
      <c r="A47" s="62" t="s">
        <v>48</v>
      </c>
      <c r="B47" s="71" t="n">
        <v>132345</v>
      </c>
      <c r="C47" s="71" t="n">
        <v>196162</v>
      </c>
      <c r="D47" s="71" t="n">
        <v>262979</v>
      </c>
      <c r="E47" s="71" t="n">
        <v>142126</v>
      </c>
      <c r="F47" s="71" t="n">
        <v>54174</v>
      </c>
      <c r="G47" s="9" t="n">
        <f aca="false">'Current Year'!E66</f>
        <v>167144</v>
      </c>
    </row>
    <row r="48" customFormat="false" ht="15.75" hidden="false" customHeight="true" outlineLevel="0" collapsed="false">
      <c r="A48" s="62" t="s">
        <v>78</v>
      </c>
      <c r="B48" s="71" t="n">
        <v>79973</v>
      </c>
      <c r="C48" s="71" t="n">
        <v>55570</v>
      </c>
      <c r="D48" s="71" t="n">
        <v>57000</v>
      </c>
      <c r="E48" s="71" t="n">
        <v>79800</v>
      </c>
      <c r="F48" s="71" t="n">
        <v>31603</v>
      </c>
      <c r="G48" s="9" t="n">
        <f aca="false">'Current Year'!E67</f>
        <v>50000</v>
      </c>
    </row>
    <row r="49" customFormat="false" ht="15.75" hidden="false" customHeight="true" outlineLevel="0" collapsed="false">
      <c r="A49" s="86"/>
      <c r="H49" s="9"/>
    </row>
    <row r="50" customFormat="false" ht="15.75" hidden="false" customHeight="true" outlineLevel="0" collapsed="false">
      <c r="A50" s="87" t="s">
        <v>100</v>
      </c>
      <c r="B50" s="88" t="n">
        <v>-32696</v>
      </c>
      <c r="C50" s="88" t="n">
        <v>-78505</v>
      </c>
      <c r="D50" s="88" t="n">
        <v>-139841</v>
      </c>
      <c r="E50" s="88" t="n">
        <v>-10483</v>
      </c>
      <c r="F50" s="88" t="n">
        <v>36953</v>
      </c>
      <c r="G50" s="88" t="n">
        <f aca="false">'Current Year'!D69</f>
        <v>3720</v>
      </c>
      <c r="H50" s="89" t="n">
        <f aca="false">'Progress Tracker'!U62</f>
        <v>71254.79</v>
      </c>
      <c r="I50" s="90" t="n">
        <f aca="false">IF(G50=0,0,H50/G50)</f>
        <v>19.1545134408602</v>
      </c>
    </row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E5" activeCellId="0" sqref="E5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.15"/>
    <col collapsed="false" customWidth="true" hidden="false" outlineLevel="0" max="3" min="3" style="1" width="34.29"/>
    <col collapsed="false" customWidth="true" hidden="false" outlineLevel="0" max="4" min="4" style="1" width="12"/>
    <col collapsed="false" customWidth="true" hidden="false" outlineLevel="0" max="22" min="5" style="1" width="10"/>
    <col collapsed="false" customWidth="true" hidden="false" outlineLevel="0" max="26" min="23" style="1" width="8.71"/>
  </cols>
  <sheetData>
    <row r="1" customFormat="false" ht="17.25" hidden="false" customHeight="true" outlineLevel="0" collapsed="false">
      <c r="A1" s="41" t="s">
        <v>119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customFormat="false" ht="15" hidden="false" customHeight="true" outlineLevel="0" collapsed="false">
      <c r="A2" s="91"/>
    </row>
    <row r="3" customFormat="false" ht="15" hidden="false" customHeight="true" outlineLevel="0" collapsed="false"/>
    <row r="4" customFormat="false" ht="15" hidden="false" customHeight="true" outlineLevel="0" collapsed="false">
      <c r="A4" s="92" t="s">
        <v>120</v>
      </c>
      <c r="B4" s="92" t="s">
        <v>3</v>
      </c>
      <c r="C4" s="92" t="s">
        <v>121</v>
      </c>
      <c r="D4" s="92" t="s">
        <v>122</v>
      </c>
      <c r="E4" s="92" t="s">
        <v>123</v>
      </c>
      <c r="F4" s="92" t="s">
        <v>124</v>
      </c>
      <c r="G4" s="92" t="s">
        <v>125</v>
      </c>
      <c r="H4" s="93" t="s">
        <v>126</v>
      </c>
      <c r="I4" s="92" t="s">
        <v>127</v>
      </c>
      <c r="J4" s="92" t="s">
        <v>128</v>
      </c>
      <c r="K4" s="92" t="s">
        <v>129</v>
      </c>
      <c r="L4" s="93" t="s">
        <v>130</v>
      </c>
      <c r="M4" s="92" t="s">
        <v>131</v>
      </c>
      <c r="N4" s="92" t="s">
        <v>132</v>
      </c>
      <c r="O4" s="92" t="s">
        <v>133</v>
      </c>
      <c r="P4" s="93" t="s">
        <v>134</v>
      </c>
      <c r="Q4" s="92" t="s">
        <v>135</v>
      </c>
      <c r="R4" s="92" t="s">
        <v>136</v>
      </c>
      <c r="S4" s="92" t="s">
        <v>137</v>
      </c>
      <c r="T4" s="93" t="s">
        <v>138</v>
      </c>
      <c r="U4" s="94" t="s">
        <v>139</v>
      </c>
      <c r="V4" s="94" t="s">
        <v>140</v>
      </c>
    </row>
    <row r="5" customFormat="false" ht="15" hidden="false" customHeight="true" outlineLevel="0" collapsed="false">
      <c r="A5" s="95" t="s">
        <v>9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</row>
    <row r="6" customFormat="false" ht="15" hidden="false" customHeight="true" outlineLevel="0" collapsed="false">
      <c r="A6" s="40" t="s">
        <v>10</v>
      </c>
      <c r="B6" s="40" t="s">
        <v>11</v>
      </c>
      <c r="D6" s="96" t="n">
        <v>385000</v>
      </c>
      <c r="E6" s="96" t="n">
        <f aca="false">E7+E10+E11+E12</f>
        <v>2265</v>
      </c>
      <c r="F6" s="96" t="n">
        <f aca="false">F7+F10+F11+F12</f>
        <v>47815</v>
      </c>
      <c r="G6" s="96" t="n">
        <f aca="false">G7+G10+G11+G12</f>
        <v>4660</v>
      </c>
      <c r="H6" s="97" t="n">
        <f aca="false">H7+H10+H11+H12</f>
        <v>54740</v>
      </c>
      <c r="I6" s="96" t="n">
        <f aca="false">I7+I10+I11+I12</f>
        <v>0</v>
      </c>
      <c r="J6" s="96" t="n">
        <f aca="false">J7+J10+J11+J12</f>
        <v>0</v>
      </c>
      <c r="K6" s="96" t="n">
        <f aca="false">K7+K10+K11+K12</f>
        <v>0</v>
      </c>
      <c r="L6" s="97" t="n">
        <f aca="false">L7+L10+L11+L12</f>
        <v>0</v>
      </c>
      <c r="M6" s="96" t="n">
        <f aca="false">M7+M10+M11+M12</f>
        <v>0</v>
      </c>
      <c r="N6" s="96" t="n">
        <f aca="false">N7+N10+N11+N12</f>
        <v>0</v>
      </c>
      <c r="O6" s="96" t="n">
        <f aca="false">O7+O10+O11+O12</f>
        <v>0</v>
      </c>
      <c r="P6" s="97" t="n">
        <f aca="false">P7+P10+P11+P12</f>
        <v>0</v>
      </c>
      <c r="Q6" s="96" t="n">
        <f aca="false">Q7+Q10+Q11+Q12</f>
        <v>0</v>
      </c>
      <c r="R6" s="96" t="n">
        <f aca="false">R7+R10+R11+R12</f>
        <v>0</v>
      </c>
      <c r="S6" s="96" t="n">
        <f aca="false">S7+S10+S11+S12</f>
        <v>0</v>
      </c>
      <c r="T6" s="97" t="n">
        <f aca="false">T7+T10+T11+T12</f>
        <v>0</v>
      </c>
      <c r="U6" s="98" t="n">
        <f aca="false">H6+L6+P6+T6</f>
        <v>54740</v>
      </c>
      <c r="V6" s="99" t="n">
        <f aca="false">IF(D6=0,0,U6/D6)</f>
        <v>0.142181818181818</v>
      </c>
    </row>
    <row r="7" customFormat="false" ht="15" hidden="false" customHeight="true" outlineLevel="0" collapsed="false">
      <c r="A7" s="11"/>
      <c r="B7" s="12" t="s">
        <v>12</v>
      </c>
      <c r="C7" s="12" t="s">
        <v>12</v>
      </c>
      <c r="D7" s="14" t="n">
        <v>80000</v>
      </c>
      <c r="E7" s="14" t="n">
        <f aca="false">SUM(E8:E9)</f>
        <v>460</v>
      </c>
      <c r="F7" s="14" t="n">
        <f aca="false">SUM(F8:F9)</f>
        <v>3560</v>
      </c>
      <c r="G7" s="14" t="n">
        <f aca="false">SUM(G8:G9)</f>
        <v>100</v>
      </c>
      <c r="H7" s="100" t="n">
        <f aca="false">SUM(H8:H9)</f>
        <v>4120</v>
      </c>
      <c r="I7" s="14" t="n">
        <f aca="false">SUM(I8:I9)</f>
        <v>0</v>
      </c>
      <c r="J7" s="14" t="n">
        <f aca="false">SUM(J8:J9)</f>
        <v>0</v>
      </c>
      <c r="K7" s="14" t="n">
        <f aca="false">SUM(K8:K9)</f>
        <v>0</v>
      </c>
      <c r="L7" s="100" t="n">
        <f aca="false">SUM(L8:L9)</f>
        <v>0</v>
      </c>
      <c r="M7" s="14" t="n">
        <f aca="false">SUM(M8:M9)</f>
        <v>0</v>
      </c>
      <c r="N7" s="14" t="n">
        <f aca="false">SUM(N8:N9)</f>
        <v>0</v>
      </c>
      <c r="O7" s="14" t="n">
        <f aca="false">SUM(O8:O9)</f>
        <v>0</v>
      </c>
      <c r="P7" s="100" t="n">
        <f aca="false">SUM(P8:P9)</f>
        <v>0</v>
      </c>
      <c r="Q7" s="14" t="n">
        <f aca="false">SUM(Q8:Q9)</f>
        <v>0</v>
      </c>
      <c r="R7" s="14" t="n">
        <f aca="false">SUM(R8:R9)</f>
        <v>0</v>
      </c>
      <c r="S7" s="14" t="n">
        <f aca="false">SUM(S8:S9)</f>
        <v>0</v>
      </c>
      <c r="T7" s="100" t="n">
        <f aca="false">SUM(T8:T9)</f>
        <v>0</v>
      </c>
      <c r="U7" s="14" t="n">
        <f aca="false">H7+L7+P7+T7</f>
        <v>4120</v>
      </c>
      <c r="V7" s="15" t="n">
        <f aca="false">IF(D7=0,0,U7/D7)</f>
        <v>0.0515</v>
      </c>
      <c r="W7" s="11"/>
      <c r="X7" s="11"/>
      <c r="Y7" s="11"/>
      <c r="Z7" s="11"/>
    </row>
    <row r="8" customFormat="false" ht="15" hidden="false" customHeight="true" outlineLevel="0" collapsed="false">
      <c r="A8" s="11"/>
      <c r="B8" s="12" t="s">
        <v>13</v>
      </c>
      <c r="C8" s="12" t="s">
        <v>13</v>
      </c>
      <c r="D8" s="14" t="n">
        <v>20000</v>
      </c>
      <c r="E8" s="14" t="n">
        <v>460</v>
      </c>
      <c r="F8" s="14" t="n">
        <v>560</v>
      </c>
      <c r="G8" s="14" t="n">
        <v>100</v>
      </c>
      <c r="H8" s="100" t="n">
        <f aca="false">SUM(E8:G8)</f>
        <v>1120</v>
      </c>
      <c r="I8" s="14"/>
      <c r="J8" s="14"/>
      <c r="K8" s="14"/>
      <c r="L8" s="100" t="n">
        <f aca="false">SUM(I8:K8)</f>
        <v>0</v>
      </c>
      <c r="M8" s="14"/>
      <c r="N8" s="14"/>
      <c r="O8" s="14"/>
      <c r="P8" s="100" t="n">
        <f aca="false">SUM(M8:O8)</f>
        <v>0</v>
      </c>
      <c r="Q8" s="14"/>
      <c r="R8" s="14"/>
      <c r="S8" s="14"/>
      <c r="T8" s="100" t="n">
        <f aca="false">SUM(Q8:S8)</f>
        <v>0</v>
      </c>
      <c r="U8" s="14" t="n">
        <f aca="false">H8+L8+P8+T8</f>
        <v>1120</v>
      </c>
      <c r="V8" s="15" t="n">
        <f aca="false">IF(D8=0,0,U8/D8)</f>
        <v>0.056</v>
      </c>
      <c r="W8" s="11"/>
      <c r="X8" s="11"/>
      <c r="Y8" s="11"/>
      <c r="Z8" s="11"/>
    </row>
    <row r="9" customFormat="false" ht="15" hidden="false" customHeight="true" outlineLevel="0" collapsed="false">
      <c r="A9" s="11"/>
      <c r="B9" s="12" t="s">
        <v>14</v>
      </c>
      <c r="C9" s="12" t="s">
        <v>14</v>
      </c>
      <c r="D9" s="14" t="n">
        <v>60000</v>
      </c>
      <c r="E9" s="14" t="n">
        <v>0</v>
      </c>
      <c r="F9" s="14" t="n">
        <v>3000</v>
      </c>
      <c r="G9" s="14" t="n">
        <v>0</v>
      </c>
      <c r="H9" s="100" t="n">
        <f aca="false">SUM(E9:G9)</f>
        <v>3000</v>
      </c>
      <c r="I9" s="14"/>
      <c r="J9" s="14"/>
      <c r="K9" s="14"/>
      <c r="L9" s="100" t="n">
        <f aca="false">SUM(I9:K9)</f>
        <v>0</v>
      </c>
      <c r="M9" s="14"/>
      <c r="N9" s="14"/>
      <c r="O9" s="14"/>
      <c r="P9" s="100" t="n">
        <f aca="false">SUM(M9:O9)</f>
        <v>0</v>
      </c>
      <c r="Q9" s="14"/>
      <c r="R9" s="14"/>
      <c r="S9" s="14"/>
      <c r="T9" s="100" t="n">
        <f aca="false">SUM(Q9:S9)</f>
        <v>0</v>
      </c>
      <c r="U9" s="14" t="n">
        <f aca="false">H9+L9+P9+T9</f>
        <v>3000</v>
      </c>
      <c r="V9" s="15" t="n">
        <f aca="false">IF(D9=0,0,U9/D9)</f>
        <v>0.05</v>
      </c>
      <c r="W9" s="11"/>
      <c r="X9" s="11"/>
      <c r="Y9" s="11"/>
      <c r="Z9" s="11"/>
    </row>
    <row r="10" customFormat="false" ht="15" hidden="false" customHeight="true" outlineLevel="0" collapsed="false">
      <c r="A10" s="11"/>
      <c r="B10" s="12" t="s">
        <v>15</v>
      </c>
      <c r="C10" s="12" t="s">
        <v>15</v>
      </c>
      <c r="D10" s="14" t="n">
        <v>150000</v>
      </c>
      <c r="E10" s="14" t="n">
        <v>0</v>
      </c>
      <c r="F10" s="14" t="n">
        <v>40000</v>
      </c>
      <c r="G10" s="14" t="n">
        <v>0</v>
      </c>
      <c r="H10" s="100" t="n">
        <f aca="false">SUM(E10:G10)</f>
        <v>40000</v>
      </c>
      <c r="I10" s="14"/>
      <c r="J10" s="14"/>
      <c r="K10" s="14"/>
      <c r="L10" s="100" t="n">
        <f aca="false">SUM(I10:K10)</f>
        <v>0</v>
      </c>
      <c r="M10" s="14"/>
      <c r="N10" s="14"/>
      <c r="O10" s="14"/>
      <c r="P10" s="100" t="n">
        <f aca="false">SUM(M10:O10)</f>
        <v>0</v>
      </c>
      <c r="Q10" s="14"/>
      <c r="R10" s="14"/>
      <c r="S10" s="14"/>
      <c r="T10" s="100" t="n">
        <f aca="false">SUM(Q10:S10)</f>
        <v>0</v>
      </c>
      <c r="U10" s="14" t="n">
        <f aca="false">H10+L10+P10+T10</f>
        <v>40000</v>
      </c>
      <c r="V10" s="15" t="n">
        <f aca="false">IF(D10=0,0,U10/D10)</f>
        <v>0.266666666666667</v>
      </c>
      <c r="W10" s="11"/>
      <c r="X10" s="11"/>
      <c r="Y10" s="11"/>
      <c r="Z10" s="11"/>
    </row>
    <row r="11" customFormat="false" ht="15" hidden="false" customHeight="true" outlineLevel="0" collapsed="false">
      <c r="A11" s="50"/>
      <c r="B11" s="50" t="s">
        <v>16</v>
      </c>
      <c r="C11" s="43" t="s">
        <v>16</v>
      </c>
      <c r="D11" s="96" t="n">
        <v>100000</v>
      </c>
      <c r="E11" s="101" t="n">
        <v>0</v>
      </c>
      <c r="F11" s="101" t="n">
        <v>0</v>
      </c>
      <c r="G11" s="101" t="n">
        <v>0</v>
      </c>
      <c r="H11" s="97" t="n">
        <f aca="false">SUM(E11:G11)</f>
        <v>0</v>
      </c>
      <c r="I11" s="101"/>
      <c r="J11" s="101"/>
      <c r="K11" s="101"/>
      <c r="L11" s="97" t="n">
        <f aca="false">SUM(I11:K11)</f>
        <v>0</v>
      </c>
      <c r="M11" s="101"/>
      <c r="N11" s="101"/>
      <c r="O11" s="101"/>
      <c r="P11" s="97" t="n">
        <f aca="false">SUM(M11:O11)</f>
        <v>0</v>
      </c>
      <c r="Q11" s="101"/>
      <c r="R11" s="101"/>
      <c r="S11" s="101"/>
      <c r="T11" s="97" t="n">
        <f aca="false">SUM(Q11:S11)</f>
        <v>0</v>
      </c>
      <c r="U11" s="96" t="n">
        <f aca="false">H11+L11+P11+T11</f>
        <v>0</v>
      </c>
      <c r="V11" s="102" t="n">
        <f aca="false">IF(D11=0,0,U11/D11)</f>
        <v>0</v>
      </c>
      <c r="W11" s="50"/>
      <c r="X11" s="50"/>
      <c r="Y11" s="50"/>
      <c r="Z11" s="50"/>
    </row>
    <row r="12" customFormat="false" ht="15" hidden="false" customHeight="true" outlineLevel="0" collapsed="false">
      <c r="A12" s="50"/>
      <c r="B12" s="50" t="s">
        <v>17</v>
      </c>
      <c r="C12" s="43" t="s">
        <v>17</v>
      </c>
      <c r="D12" s="96" t="n">
        <v>55000</v>
      </c>
      <c r="E12" s="101" t="n">
        <v>1805</v>
      </c>
      <c r="F12" s="101" t="n">
        <v>4255</v>
      </c>
      <c r="G12" s="101" t="n">
        <v>4560</v>
      </c>
      <c r="H12" s="97" t="n">
        <f aca="false">SUM(E12:G12)</f>
        <v>10620</v>
      </c>
      <c r="I12" s="101"/>
      <c r="J12" s="101"/>
      <c r="K12" s="101"/>
      <c r="L12" s="97" t="n">
        <f aca="false">SUM(I12:K12)</f>
        <v>0</v>
      </c>
      <c r="M12" s="101"/>
      <c r="N12" s="101"/>
      <c r="O12" s="101"/>
      <c r="P12" s="97" t="n">
        <f aca="false">SUM(M12:O12)</f>
        <v>0</v>
      </c>
      <c r="Q12" s="101"/>
      <c r="R12" s="101"/>
      <c r="S12" s="101"/>
      <c r="T12" s="97" t="n">
        <f aca="false">SUM(Q12:S12)</f>
        <v>0</v>
      </c>
      <c r="U12" s="96" t="n">
        <f aca="false">H12+L12+P12+T12</f>
        <v>10620</v>
      </c>
      <c r="V12" s="102" t="n">
        <f aca="false">IF(D12=0,0,U12/D12)</f>
        <v>0.193090909090909</v>
      </c>
      <c r="W12" s="50"/>
      <c r="X12" s="50"/>
      <c r="Y12" s="50"/>
      <c r="Z12" s="50"/>
    </row>
    <row r="13" customFormat="false" ht="15" hidden="false" customHeight="true" outlineLevel="0" collapsed="false">
      <c r="A13" s="50" t="s">
        <v>18</v>
      </c>
      <c r="B13" s="50" t="s">
        <v>19</v>
      </c>
      <c r="C13" s="43"/>
      <c r="D13" s="96" t="n">
        <v>2000</v>
      </c>
      <c r="E13" s="101"/>
      <c r="F13" s="101"/>
      <c r="G13" s="101"/>
      <c r="H13" s="97" t="n">
        <f aca="false">SUM(E13:G13)</f>
        <v>0</v>
      </c>
      <c r="I13" s="101"/>
      <c r="J13" s="101"/>
      <c r="K13" s="101"/>
      <c r="L13" s="97" t="n">
        <f aca="false">SUM(I13:K13)</f>
        <v>0</v>
      </c>
      <c r="M13" s="101"/>
      <c r="N13" s="101"/>
      <c r="O13" s="101"/>
      <c r="P13" s="97" t="n">
        <f aca="false">SUM(M13:O13)</f>
        <v>0</v>
      </c>
      <c r="Q13" s="101"/>
      <c r="R13" s="101"/>
      <c r="S13" s="101"/>
      <c r="T13" s="97" t="n">
        <f aca="false">SUM(Q13:S13)</f>
        <v>0</v>
      </c>
      <c r="U13" s="96" t="n">
        <f aca="false">H13+L13+P13+T13</f>
        <v>0</v>
      </c>
      <c r="V13" s="102" t="n">
        <f aca="false">IF(D13=0,0,U13/D13)</f>
        <v>0</v>
      </c>
      <c r="W13" s="50"/>
      <c r="X13" s="50"/>
      <c r="Y13" s="50"/>
      <c r="Z13" s="50"/>
    </row>
    <row r="14" customFormat="false" ht="15" hidden="false" customHeight="true" outlineLevel="0" collapsed="false">
      <c r="A14" s="50" t="s">
        <v>20</v>
      </c>
      <c r="B14" s="50" t="s">
        <v>21</v>
      </c>
      <c r="C14" s="43"/>
      <c r="D14" s="96" t="n">
        <v>20000</v>
      </c>
      <c r="E14" s="101"/>
      <c r="F14" s="101"/>
      <c r="G14" s="101"/>
      <c r="H14" s="97" t="n">
        <f aca="false">SUM(E14:G14)</f>
        <v>0</v>
      </c>
      <c r="I14" s="101"/>
      <c r="J14" s="101"/>
      <c r="K14" s="101"/>
      <c r="L14" s="97" t="n">
        <f aca="false">SUM(I14:K14)</f>
        <v>0</v>
      </c>
      <c r="M14" s="101"/>
      <c r="N14" s="101"/>
      <c r="O14" s="101"/>
      <c r="P14" s="97" t="n">
        <f aca="false">SUM(M14:O14)</f>
        <v>0</v>
      </c>
      <c r="Q14" s="101"/>
      <c r="R14" s="101"/>
      <c r="S14" s="101"/>
      <c r="T14" s="97" t="n">
        <f aca="false">SUM(Q14:S14)</f>
        <v>0</v>
      </c>
      <c r="U14" s="96" t="n">
        <f aca="false">H14+L14+P14+T14</f>
        <v>0</v>
      </c>
      <c r="V14" s="102" t="n">
        <f aca="false">IF(D14=0,0,U14/D14)</f>
        <v>0</v>
      </c>
      <c r="W14" s="50"/>
      <c r="X14" s="50"/>
      <c r="Y14" s="50"/>
      <c r="Z14" s="50"/>
    </row>
    <row r="15" customFormat="false" ht="15" hidden="false" customHeight="true" outlineLevel="0" collapsed="false">
      <c r="A15" s="50" t="s">
        <v>22</v>
      </c>
      <c r="B15" s="50" t="s">
        <v>23</v>
      </c>
      <c r="C15" s="43"/>
      <c r="D15" s="96" t="n">
        <v>0</v>
      </c>
      <c r="E15" s="96"/>
      <c r="F15" s="96"/>
      <c r="G15" s="96"/>
      <c r="H15" s="97" t="n">
        <f aca="false">SUM(E15:G15)</f>
        <v>0</v>
      </c>
      <c r="I15" s="96"/>
      <c r="J15" s="96"/>
      <c r="K15" s="96"/>
      <c r="L15" s="97" t="n">
        <f aca="false">SUM(I15:K15)</f>
        <v>0</v>
      </c>
      <c r="M15" s="96"/>
      <c r="N15" s="96"/>
      <c r="O15" s="96"/>
      <c r="P15" s="97" t="n">
        <f aca="false">SUM(M15:O15)</f>
        <v>0</v>
      </c>
      <c r="Q15" s="96"/>
      <c r="R15" s="96"/>
      <c r="S15" s="96"/>
      <c r="T15" s="97" t="n">
        <f aca="false">SUM(Q15:S15)</f>
        <v>0</v>
      </c>
      <c r="U15" s="98" t="n">
        <f aca="false">H15+L15+P15+T15</f>
        <v>0</v>
      </c>
      <c r="V15" s="99" t="n">
        <f aca="false">IF(D15=0,0,U15/D15)</f>
        <v>0</v>
      </c>
      <c r="W15" s="50"/>
      <c r="X15" s="50"/>
      <c r="Y15" s="50"/>
      <c r="Z15" s="50"/>
    </row>
    <row r="16" customFormat="false" ht="15" hidden="false" customHeight="true" outlineLevel="0" collapsed="false">
      <c r="A16" s="11" t="s">
        <v>24</v>
      </c>
      <c r="B16" s="12" t="s">
        <v>25</v>
      </c>
      <c r="C16" s="12"/>
      <c r="D16" s="14" t="n">
        <v>100000</v>
      </c>
      <c r="E16" s="14" t="n">
        <v>0</v>
      </c>
      <c r="F16" s="14" t="n">
        <v>6506.85</v>
      </c>
      <c r="G16" s="14" t="n">
        <v>6392.94</v>
      </c>
      <c r="H16" s="100" t="n">
        <f aca="false">SUM(E16:G16)</f>
        <v>12899.79</v>
      </c>
      <c r="I16" s="14"/>
      <c r="J16" s="14"/>
      <c r="K16" s="14"/>
      <c r="L16" s="100" t="n">
        <f aca="false">SUM(I16:K16)</f>
        <v>0</v>
      </c>
      <c r="M16" s="14"/>
      <c r="N16" s="14"/>
      <c r="O16" s="14"/>
      <c r="P16" s="100" t="n">
        <f aca="false">SUM(M16:O16)</f>
        <v>0</v>
      </c>
      <c r="Q16" s="14"/>
      <c r="R16" s="14"/>
      <c r="S16" s="14"/>
      <c r="T16" s="100" t="n">
        <f aca="false">SUM(Q16:S16)</f>
        <v>0</v>
      </c>
      <c r="U16" s="14" t="n">
        <f aca="false">H16+L16+P16+T16</f>
        <v>12899.79</v>
      </c>
      <c r="V16" s="15" t="n">
        <f aca="false">IF(D16=0,0,U16/D16)</f>
        <v>0.1289979</v>
      </c>
      <c r="W16" s="11"/>
      <c r="X16" s="11"/>
      <c r="Y16" s="11"/>
      <c r="Z16" s="11"/>
    </row>
    <row r="17" customFormat="false" ht="15" hidden="false" customHeight="true" outlineLevel="0" collapsed="false">
      <c r="A17" s="11" t="s">
        <v>26</v>
      </c>
      <c r="B17" s="12" t="s">
        <v>27</v>
      </c>
      <c r="C17" s="12"/>
      <c r="D17" s="14" t="n">
        <v>10000</v>
      </c>
      <c r="E17" s="14" t="n">
        <f aca="false">SUM(E18:E19)</f>
        <v>2400</v>
      </c>
      <c r="F17" s="14" t="n">
        <f aca="false">SUM(F18:F19)</f>
        <v>640</v>
      </c>
      <c r="G17" s="14" t="n">
        <f aca="false">SUM(G18:G19)</f>
        <v>575</v>
      </c>
      <c r="H17" s="100" t="n">
        <f aca="false">SUM(H18:H19)</f>
        <v>3615</v>
      </c>
      <c r="I17" s="14" t="n">
        <f aca="false">SUM(I18:I19)</f>
        <v>0</v>
      </c>
      <c r="J17" s="14" t="n">
        <f aca="false">SUM(J18:J19)</f>
        <v>0</v>
      </c>
      <c r="K17" s="14" t="n">
        <f aca="false">SUM(K18:K19)</f>
        <v>0</v>
      </c>
      <c r="L17" s="100" t="n">
        <f aca="false">SUM(L18:L19)</f>
        <v>0</v>
      </c>
      <c r="M17" s="14" t="n">
        <f aca="false">SUM(M18:M19)</f>
        <v>0</v>
      </c>
      <c r="N17" s="14" t="n">
        <f aca="false">SUM(N18:N19)</f>
        <v>0</v>
      </c>
      <c r="O17" s="14" t="n">
        <f aca="false">SUM(O18:O19)</f>
        <v>0</v>
      </c>
      <c r="P17" s="100" t="n">
        <f aca="false">SUM(P18:P19)</f>
        <v>0</v>
      </c>
      <c r="Q17" s="14" t="n">
        <f aca="false">SUM(Q18:Q19)</f>
        <v>0</v>
      </c>
      <c r="R17" s="14" t="n">
        <f aca="false">SUM(R18:R19)</f>
        <v>0</v>
      </c>
      <c r="S17" s="14" t="n">
        <f aca="false">SUM(S18:S19)</f>
        <v>0</v>
      </c>
      <c r="T17" s="100" t="n">
        <f aca="false">SUM(T18:T19)</f>
        <v>0</v>
      </c>
      <c r="U17" s="14" t="n">
        <f aca="false">H17+L17+P17+T17</f>
        <v>3615</v>
      </c>
      <c r="V17" s="15" t="n">
        <f aca="false">IF(D17=0,0,U17/D17)</f>
        <v>0.3615</v>
      </c>
      <c r="W17" s="11"/>
      <c r="X17" s="11"/>
      <c r="Y17" s="11"/>
      <c r="Z17" s="11"/>
    </row>
    <row r="18" customFormat="false" ht="15" hidden="false" customHeight="true" outlineLevel="0" collapsed="false">
      <c r="A18" s="1" t="s">
        <v>28</v>
      </c>
      <c r="B18" s="50" t="s">
        <v>29</v>
      </c>
      <c r="C18" s="1" t="s">
        <v>29</v>
      </c>
      <c r="D18" s="9" t="n">
        <v>5000</v>
      </c>
      <c r="E18" s="103" t="n">
        <v>2400</v>
      </c>
      <c r="F18" s="103" t="n">
        <v>640</v>
      </c>
      <c r="G18" s="103" t="n">
        <v>575</v>
      </c>
      <c r="H18" s="104" t="n">
        <f aca="false">SUM(E18:G18)</f>
        <v>3615</v>
      </c>
      <c r="I18" s="103"/>
      <c r="J18" s="103"/>
      <c r="K18" s="103"/>
      <c r="L18" s="104" t="n">
        <f aca="false">SUM(I18:K18)</f>
        <v>0</v>
      </c>
      <c r="M18" s="103"/>
      <c r="N18" s="103"/>
      <c r="O18" s="103"/>
      <c r="P18" s="104" t="n">
        <f aca="false">SUM(M18:O18)</f>
        <v>0</v>
      </c>
      <c r="Q18" s="103"/>
      <c r="R18" s="103"/>
      <c r="S18" s="103"/>
      <c r="T18" s="104" t="n">
        <f aca="false">SUM(Q18:S18)</f>
        <v>0</v>
      </c>
      <c r="U18" s="9" t="n">
        <f aca="false">H18+L18+P18+T18</f>
        <v>3615</v>
      </c>
      <c r="V18" s="10" t="n">
        <f aca="false">IF(D18=0,0,U18/D18)</f>
        <v>0.723</v>
      </c>
    </row>
    <row r="19" customFormat="false" ht="15" hidden="false" customHeight="true" outlineLevel="0" collapsed="false">
      <c r="A19" s="105" t="s">
        <v>30</v>
      </c>
      <c r="B19" s="105" t="s">
        <v>111</v>
      </c>
      <c r="C19" s="106" t="s">
        <v>31</v>
      </c>
      <c r="D19" s="45" t="n">
        <v>5000</v>
      </c>
      <c r="E19" s="107"/>
      <c r="F19" s="107"/>
      <c r="G19" s="107"/>
      <c r="H19" s="45" t="n">
        <f aca="false">SUM(E19:G19)</f>
        <v>0</v>
      </c>
      <c r="I19" s="45"/>
      <c r="J19" s="45"/>
      <c r="K19" s="45"/>
      <c r="L19" s="45" t="n">
        <f aca="false">SUM(I19:K19)</f>
        <v>0</v>
      </c>
      <c r="M19" s="45"/>
      <c r="N19" s="45"/>
      <c r="O19" s="45"/>
      <c r="P19" s="45" t="n">
        <f aca="false">SUM(M19:O19)</f>
        <v>0</v>
      </c>
      <c r="Q19" s="45"/>
      <c r="R19" s="45"/>
      <c r="S19" s="45"/>
      <c r="T19" s="45" t="n">
        <f aca="false">SUM(Q19:S19)</f>
        <v>0</v>
      </c>
      <c r="U19" s="108" t="n">
        <f aca="false">H19+L19+P19+T19</f>
        <v>0</v>
      </c>
      <c r="V19" s="109" t="n">
        <f aca="false">IF(D19=0,0,U19/D19)</f>
        <v>0</v>
      </c>
    </row>
    <row r="20" customFormat="false" ht="15" hidden="false" customHeight="true" outlineLevel="0" collapsed="false">
      <c r="A20" s="1" t="s">
        <v>32</v>
      </c>
      <c r="B20" s="1" t="s">
        <v>33</v>
      </c>
      <c r="D20" s="1" t="n">
        <v>0</v>
      </c>
      <c r="H20" s="1" t="n">
        <f aca="false">SUM(E20:G20)</f>
        <v>0</v>
      </c>
      <c r="L20" s="1" t="n">
        <f aca="false">SUM(I20:K20)</f>
        <v>0</v>
      </c>
      <c r="P20" s="1" t="n">
        <f aca="false">SUM(M20:O20)</f>
        <v>0</v>
      </c>
      <c r="T20" s="1" t="n">
        <f aca="false">SUM(Q20:S20)</f>
        <v>0</v>
      </c>
      <c r="U20" s="1" t="n">
        <f aca="false">H20+L20+P20+T20</f>
        <v>0</v>
      </c>
      <c r="V20" s="1" t="n">
        <f aca="false">IF(D20=0,0,U20/D20)</f>
        <v>0</v>
      </c>
    </row>
    <row r="21" customFormat="false" ht="15" hidden="false" customHeight="true" outlineLevel="0" collapsed="false">
      <c r="A21" s="110" t="s">
        <v>34</v>
      </c>
      <c r="D21" s="1" t="n">
        <v>517000</v>
      </c>
      <c r="E21" s="1" t="n">
        <f aca="false">E6+E13+E14+E15+E16+E17+E20</f>
        <v>4665</v>
      </c>
      <c r="F21" s="1" t="n">
        <f aca="false">F6+F13+F14+F15+F16+F17+F20</f>
        <v>54961.85</v>
      </c>
      <c r="G21" s="1" t="n">
        <f aca="false">G6+G13+G14+G15+G16+G17+G20</f>
        <v>11627.94</v>
      </c>
      <c r="H21" s="1" t="n">
        <f aca="false">H6+H13+H14+H15+H16+H17+H20</f>
        <v>71254.79</v>
      </c>
      <c r="I21" s="1" t="n">
        <f aca="false">I6+I13+I14+I15+I16+I17+I20</f>
        <v>0</v>
      </c>
      <c r="J21" s="1" t="n">
        <f aca="false">J6+J13+J14+J15+J16+J17+J20</f>
        <v>0</v>
      </c>
      <c r="K21" s="1" t="n">
        <f aca="false">K6+K13+K14+K15+K16+K17+K20</f>
        <v>0</v>
      </c>
      <c r="L21" s="1" t="n">
        <f aca="false">L6+L13+L14+L15+L16+L17+L20</f>
        <v>0</v>
      </c>
      <c r="M21" s="1" t="n">
        <f aca="false">M6+M13+M14+M15+M16+M17+M20</f>
        <v>0</v>
      </c>
      <c r="N21" s="1" t="n">
        <f aca="false">N6+N13+N14+N15+N16+N17+N20</f>
        <v>0</v>
      </c>
      <c r="O21" s="1" t="n">
        <f aca="false">O6+O13+O14+O15+O16+O17+O20</f>
        <v>0</v>
      </c>
      <c r="P21" s="1" t="n">
        <f aca="false">P6+P13+P14+P15+P16+P17+P20</f>
        <v>0</v>
      </c>
      <c r="Q21" s="1" t="n">
        <f aca="false">Q6+Q13+Q14+Q15+Q16+Q17+Q20</f>
        <v>0</v>
      </c>
      <c r="R21" s="1" t="n">
        <f aca="false">R6+R13+R14+R15+R16+R17+R20</f>
        <v>0</v>
      </c>
      <c r="S21" s="1" t="n">
        <f aca="false">S6+S13+S14+S15+S16+S17+S20</f>
        <v>0</v>
      </c>
      <c r="T21" s="1" t="n">
        <f aca="false">T6+T13+T14+T15+T16+T17+T20</f>
        <v>0</v>
      </c>
      <c r="U21" s="1" t="n">
        <f aca="false">H21+L21+P21+T21</f>
        <v>71254.79</v>
      </c>
      <c r="V21" s="1" t="n">
        <f aca="false">IF(D21=0,0,U21/D21)</f>
        <v>0.137823578336557</v>
      </c>
    </row>
    <row r="22" customFormat="false" ht="15" hidden="false" customHeight="true" outlineLevel="0" collapsed="false">
      <c r="C22" s="12"/>
      <c r="D22" s="9"/>
      <c r="E22" s="103"/>
      <c r="F22" s="103"/>
      <c r="G22" s="103"/>
      <c r="H22" s="104"/>
      <c r="I22" s="103"/>
      <c r="J22" s="103"/>
      <c r="K22" s="103"/>
      <c r="L22" s="104"/>
      <c r="M22" s="103"/>
      <c r="N22" s="103"/>
      <c r="O22" s="103"/>
      <c r="P22" s="104"/>
      <c r="Q22" s="103"/>
      <c r="R22" s="103"/>
      <c r="S22" s="103"/>
      <c r="T22" s="104"/>
      <c r="U22" s="9"/>
      <c r="V22" s="10"/>
    </row>
    <row r="23" customFormat="false" ht="15" hidden="false" customHeight="true" outlineLevel="0" collapsed="false">
      <c r="A23" s="111" t="s">
        <v>36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</row>
    <row r="24" customFormat="false" ht="15" hidden="false" customHeight="true" outlineLevel="0" collapsed="false">
      <c r="A24" s="1" t="s">
        <v>37</v>
      </c>
      <c r="B24" s="1" t="s">
        <v>38</v>
      </c>
      <c r="C24" s="12" t="s">
        <v>39</v>
      </c>
      <c r="D24" s="9" t="n">
        <v>300</v>
      </c>
      <c r="E24" s="103"/>
      <c r="F24" s="103"/>
      <c r="G24" s="103"/>
      <c r="H24" s="104" t="n">
        <f aca="false">SUM(E24:G24)</f>
        <v>0</v>
      </c>
      <c r="I24" s="103"/>
      <c r="J24" s="103"/>
      <c r="K24" s="103"/>
      <c r="L24" s="104" t="n">
        <f aca="false">SUM(I24:K24)</f>
        <v>0</v>
      </c>
      <c r="M24" s="103"/>
      <c r="N24" s="103"/>
      <c r="O24" s="103"/>
      <c r="P24" s="104" t="n">
        <f aca="false">SUM(M24:O24)</f>
        <v>0</v>
      </c>
      <c r="Q24" s="103"/>
      <c r="R24" s="103"/>
      <c r="S24" s="103"/>
      <c r="T24" s="104" t="n">
        <f aca="false">SUM(Q24:S24)</f>
        <v>0</v>
      </c>
      <c r="U24" s="9" t="n">
        <f aca="false">H24+L24+P24+T24</f>
        <v>0</v>
      </c>
      <c r="V24" s="10" t="n">
        <f aca="false">IF(D24=0,0,U24/D24)</f>
        <v>0</v>
      </c>
    </row>
    <row r="25" customFormat="false" ht="15" hidden="false" customHeight="true" outlineLevel="0" collapsed="false">
      <c r="A25" s="1" t="s">
        <v>40</v>
      </c>
      <c r="B25" s="1" t="s">
        <v>41</v>
      </c>
      <c r="C25" s="12" t="s">
        <v>39</v>
      </c>
      <c r="D25" s="9" t="n">
        <v>300</v>
      </c>
      <c r="E25" s="103"/>
      <c r="F25" s="103"/>
      <c r="G25" s="103"/>
      <c r="H25" s="104" t="n">
        <f aca="false">SUM(E25:G25)</f>
        <v>0</v>
      </c>
      <c r="I25" s="103"/>
      <c r="J25" s="103"/>
      <c r="K25" s="103"/>
      <c r="L25" s="104" t="n">
        <f aca="false">SUM(I25:K25)</f>
        <v>0</v>
      </c>
      <c r="M25" s="103"/>
      <c r="N25" s="103"/>
      <c r="O25" s="103"/>
      <c r="P25" s="104" t="n">
        <f aca="false">SUM(M25:O25)</f>
        <v>0</v>
      </c>
      <c r="Q25" s="103"/>
      <c r="R25" s="103"/>
      <c r="S25" s="103"/>
      <c r="T25" s="104" t="n">
        <f aca="false">SUM(Q25:S25)</f>
        <v>0</v>
      </c>
      <c r="U25" s="9" t="n">
        <f aca="false">H25+L25+P25+T25</f>
        <v>0</v>
      </c>
      <c r="V25" s="10" t="n">
        <f aca="false">IF(D25=0,0,U25/D25)</f>
        <v>0</v>
      </c>
    </row>
    <row r="26" customFormat="false" ht="15" hidden="false" customHeight="true" outlineLevel="0" collapsed="false">
      <c r="A26" s="1" t="s">
        <v>42</v>
      </c>
      <c r="B26" s="1" t="s">
        <v>43</v>
      </c>
      <c r="C26" s="12" t="s">
        <v>39</v>
      </c>
      <c r="D26" s="9" t="n">
        <v>10000</v>
      </c>
      <c r="E26" s="103"/>
      <c r="F26" s="103"/>
      <c r="G26" s="103"/>
      <c r="H26" s="104" t="n">
        <f aca="false">SUM(E26:G26)</f>
        <v>0</v>
      </c>
      <c r="I26" s="103"/>
      <c r="J26" s="103"/>
      <c r="K26" s="103"/>
      <c r="L26" s="104" t="n">
        <f aca="false">SUM(I26:K26)</f>
        <v>0</v>
      </c>
      <c r="M26" s="103"/>
      <c r="N26" s="103"/>
      <c r="O26" s="103"/>
      <c r="P26" s="104" t="n">
        <f aca="false">SUM(M26:O26)</f>
        <v>0</v>
      </c>
      <c r="Q26" s="103"/>
      <c r="R26" s="103"/>
      <c r="S26" s="103"/>
      <c r="T26" s="104" t="n">
        <f aca="false">SUM(Q26:S26)</f>
        <v>0</v>
      </c>
      <c r="U26" s="9" t="n">
        <f aca="false">H26+L26+P26+T26</f>
        <v>0</v>
      </c>
      <c r="V26" s="10" t="n">
        <f aca="false">IF(D26=0,0,U26/D26)</f>
        <v>0</v>
      </c>
    </row>
    <row r="27" customFormat="false" ht="15" hidden="false" customHeight="true" outlineLevel="0" collapsed="false">
      <c r="A27" s="1" t="s">
        <v>44</v>
      </c>
      <c r="B27" s="1" t="s">
        <v>45</v>
      </c>
      <c r="C27" s="12" t="s">
        <v>39</v>
      </c>
      <c r="D27" s="9" t="n">
        <v>25000</v>
      </c>
      <c r="E27" s="103"/>
      <c r="F27" s="103"/>
      <c r="G27" s="103"/>
      <c r="H27" s="104" t="n">
        <f aca="false">SUM(E27:G27)</f>
        <v>0</v>
      </c>
      <c r="I27" s="103"/>
      <c r="J27" s="103"/>
      <c r="K27" s="103"/>
      <c r="L27" s="104" t="n">
        <f aca="false">SUM(I27:K27)</f>
        <v>0</v>
      </c>
      <c r="M27" s="103"/>
      <c r="N27" s="103"/>
      <c r="O27" s="103"/>
      <c r="P27" s="104" t="n">
        <f aca="false">SUM(M27:O27)</f>
        <v>0</v>
      </c>
      <c r="Q27" s="103"/>
      <c r="R27" s="103"/>
      <c r="S27" s="103"/>
      <c r="T27" s="104" t="n">
        <f aca="false">SUM(Q27:S27)</f>
        <v>0</v>
      </c>
      <c r="U27" s="9" t="n">
        <f aca="false">H27+L27+P27+T27</f>
        <v>0</v>
      </c>
      <c r="V27" s="10" t="n">
        <f aca="false">IF(D27=0,0,U27/D27)</f>
        <v>0</v>
      </c>
    </row>
    <row r="28" customFormat="false" ht="15" hidden="false" customHeight="true" outlineLevel="0" collapsed="false">
      <c r="A28" s="1" t="s">
        <v>46</v>
      </c>
      <c r="B28" s="1" t="s">
        <v>47</v>
      </c>
      <c r="C28" s="12" t="s">
        <v>48</v>
      </c>
      <c r="D28" s="9" t="n">
        <v>4500</v>
      </c>
      <c r="E28" s="103"/>
      <c r="F28" s="103"/>
      <c r="G28" s="103"/>
      <c r="H28" s="104" t="n">
        <f aca="false">SUM(E28:G28)</f>
        <v>0</v>
      </c>
      <c r="I28" s="103"/>
      <c r="J28" s="103"/>
      <c r="K28" s="103"/>
      <c r="L28" s="104" t="n">
        <f aca="false">SUM(I28:K28)</f>
        <v>0</v>
      </c>
      <c r="M28" s="103"/>
      <c r="N28" s="103"/>
      <c r="O28" s="103"/>
      <c r="P28" s="104" t="n">
        <f aca="false">SUM(M28:O28)</f>
        <v>0</v>
      </c>
      <c r="Q28" s="103"/>
      <c r="R28" s="103"/>
      <c r="S28" s="103"/>
      <c r="T28" s="104" t="n">
        <f aca="false">SUM(Q28:S28)</f>
        <v>0</v>
      </c>
      <c r="U28" s="9" t="n">
        <f aca="false">H28+L28+P28+T28</f>
        <v>0</v>
      </c>
      <c r="V28" s="10" t="n">
        <f aca="false">IF(D28=0,0,U28/D28)</f>
        <v>0</v>
      </c>
    </row>
    <row r="29" customFormat="false" ht="15" hidden="false" customHeight="true" outlineLevel="0" collapsed="false">
      <c r="A29" s="1" t="s">
        <v>49</v>
      </c>
      <c r="B29" s="1" t="s">
        <v>50</v>
      </c>
      <c r="C29" s="12" t="s">
        <v>48</v>
      </c>
      <c r="D29" s="9" t="n">
        <v>7000</v>
      </c>
      <c r="E29" s="103"/>
      <c r="F29" s="103"/>
      <c r="G29" s="103"/>
      <c r="H29" s="104" t="n">
        <f aca="false">SUM(E29:G29)</f>
        <v>0</v>
      </c>
      <c r="I29" s="103"/>
      <c r="J29" s="103"/>
      <c r="K29" s="103"/>
      <c r="L29" s="104" t="n">
        <f aca="false">SUM(I29:K29)</f>
        <v>0</v>
      </c>
      <c r="M29" s="103"/>
      <c r="N29" s="103"/>
      <c r="O29" s="103"/>
      <c r="P29" s="104" t="n">
        <f aca="false">SUM(M29:O29)</f>
        <v>0</v>
      </c>
      <c r="Q29" s="103"/>
      <c r="R29" s="103"/>
      <c r="S29" s="103"/>
      <c r="T29" s="104" t="n">
        <f aca="false">SUM(Q29:S29)</f>
        <v>0</v>
      </c>
      <c r="U29" s="9" t="n">
        <f aca="false">H29+L29+P29+T29</f>
        <v>0</v>
      </c>
      <c r="V29" s="10" t="n">
        <f aca="false">IF(D29=0,0,U29/D29)</f>
        <v>0</v>
      </c>
    </row>
    <row r="30" customFormat="false" ht="15" hidden="false" customHeight="true" outlineLevel="0" collapsed="false">
      <c r="A30" s="1" t="s">
        <v>51</v>
      </c>
      <c r="B30" s="1" t="s">
        <v>52</v>
      </c>
      <c r="C30" s="12" t="s">
        <v>48</v>
      </c>
      <c r="D30" s="9" t="n">
        <v>3500</v>
      </c>
      <c r="E30" s="103"/>
      <c r="F30" s="103"/>
      <c r="G30" s="103"/>
      <c r="H30" s="104" t="n">
        <f aca="false">SUM(E30:G30)</f>
        <v>0</v>
      </c>
      <c r="I30" s="103"/>
      <c r="J30" s="103"/>
      <c r="K30" s="103"/>
      <c r="L30" s="104" t="n">
        <f aca="false">SUM(I30:K30)</f>
        <v>0</v>
      </c>
      <c r="M30" s="103"/>
      <c r="N30" s="103"/>
      <c r="O30" s="103"/>
      <c r="P30" s="104" t="n">
        <f aca="false">SUM(M30:O30)</f>
        <v>0</v>
      </c>
      <c r="Q30" s="103"/>
      <c r="R30" s="103"/>
      <c r="S30" s="103"/>
      <c r="T30" s="104" t="n">
        <f aca="false">SUM(Q30:S30)</f>
        <v>0</v>
      </c>
      <c r="U30" s="9" t="n">
        <f aca="false">H30+L30+P30+T30</f>
        <v>0</v>
      </c>
      <c r="V30" s="10" t="n">
        <f aca="false">IF(D30=0,0,U30/D30)</f>
        <v>0</v>
      </c>
    </row>
    <row r="31" customFormat="false" ht="15" hidden="false" customHeight="true" outlineLevel="0" collapsed="false">
      <c r="A31" s="1" t="s">
        <v>53</v>
      </c>
      <c r="B31" s="1" t="s">
        <v>54</v>
      </c>
      <c r="C31" s="12" t="s">
        <v>55</v>
      </c>
      <c r="D31" s="9" t="n">
        <v>2500</v>
      </c>
      <c r="E31" s="103"/>
      <c r="F31" s="103"/>
      <c r="G31" s="103"/>
      <c r="H31" s="104" t="n">
        <f aca="false">SUM(E31:G31)</f>
        <v>0</v>
      </c>
      <c r="I31" s="103"/>
      <c r="J31" s="103"/>
      <c r="K31" s="103"/>
      <c r="L31" s="104" t="n">
        <f aca="false">SUM(I31:K31)</f>
        <v>0</v>
      </c>
      <c r="M31" s="103"/>
      <c r="N31" s="103"/>
      <c r="O31" s="103"/>
      <c r="P31" s="104" t="n">
        <f aca="false">SUM(M31:O31)</f>
        <v>0</v>
      </c>
      <c r="Q31" s="103"/>
      <c r="R31" s="103"/>
      <c r="S31" s="103"/>
      <c r="T31" s="104" t="n">
        <f aca="false">SUM(Q31:S31)</f>
        <v>0</v>
      </c>
      <c r="U31" s="9" t="n">
        <f aca="false">H31+L31+P31+T31</f>
        <v>0</v>
      </c>
      <c r="V31" s="10" t="n">
        <f aca="false">IF(D31=0,0,U31/D31)</f>
        <v>0</v>
      </c>
    </row>
    <row r="32" customFormat="false" ht="15" hidden="false" customHeight="true" outlineLevel="0" collapsed="false">
      <c r="A32" s="1" t="s">
        <v>56</v>
      </c>
      <c r="B32" s="1" t="s">
        <v>57</v>
      </c>
      <c r="C32" s="12" t="s">
        <v>48</v>
      </c>
      <c r="D32" s="9" t="n">
        <v>350</v>
      </c>
      <c r="E32" s="103"/>
      <c r="F32" s="103"/>
      <c r="G32" s="103"/>
      <c r="H32" s="104" t="n">
        <f aca="false">SUM(E32:G32)</f>
        <v>0</v>
      </c>
      <c r="I32" s="103"/>
      <c r="J32" s="103"/>
      <c r="K32" s="103"/>
      <c r="L32" s="104" t="n">
        <f aca="false">SUM(I32:K32)</f>
        <v>0</v>
      </c>
      <c r="M32" s="103"/>
      <c r="N32" s="103"/>
      <c r="O32" s="103"/>
      <c r="P32" s="104" t="n">
        <f aca="false">SUM(M32:O32)</f>
        <v>0</v>
      </c>
      <c r="Q32" s="103"/>
      <c r="R32" s="103"/>
      <c r="S32" s="103"/>
      <c r="T32" s="104" t="n">
        <f aca="false">SUM(Q32:S32)</f>
        <v>0</v>
      </c>
      <c r="U32" s="9" t="n">
        <f aca="false">H32+L32+P32+T32</f>
        <v>0</v>
      </c>
      <c r="V32" s="10" t="n">
        <f aca="false">IF(D32=0,0,U32/D32)</f>
        <v>0</v>
      </c>
    </row>
    <row r="33" customFormat="false" ht="15" hidden="false" customHeight="true" outlineLevel="0" collapsed="false">
      <c r="A33" s="1" t="s">
        <v>58</v>
      </c>
      <c r="B33" s="1" t="s">
        <v>59</v>
      </c>
      <c r="C33" s="12" t="s">
        <v>48</v>
      </c>
      <c r="D33" s="9" t="n">
        <v>3300</v>
      </c>
      <c r="E33" s="103"/>
      <c r="F33" s="103"/>
      <c r="G33" s="103"/>
      <c r="H33" s="104" t="n">
        <f aca="false">SUM(E33:G33)</f>
        <v>0</v>
      </c>
      <c r="I33" s="103"/>
      <c r="J33" s="103"/>
      <c r="K33" s="103"/>
      <c r="L33" s="104" t="n">
        <f aca="false">SUM(I33:K33)</f>
        <v>0</v>
      </c>
      <c r="M33" s="103"/>
      <c r="N33" s="103"/>
      <c r="O33" s="103"/>
      <c r="P33" s="104" t="n">
        <f aca="false">SUM(M33:O33)</f>
        <v>0</v>
      </c>
      <c r="Q33" s="103"/>
      <c r="R33" s="103"/>
      <c r="S33" s="103"/>
      <c r="T33" s="104" t="n">
        <f aca="false">SUM(Q33:S33)</f>
        <v>0</v>
      </c>
      <c r="U33" s="9" t="n">
        <f aca="false">H33+L33+P33+T33</f>
        <v>0</v>
      </c>
      <c r="V33" s="10" t="n">
        <f aca="false">IF(D33=0,0,U33/D33)</f>
        <v>0</v>
      </c>
    </row>
    <row r="34" customFormat="false" ht="15" hidden="false" customHeight="true" outlineLevel="0" collapsed="false">
      <c r="A34" s="1" t="s">
        <v>60</v>
      </c>
      <c r="B34" s="1" t="s">
        <v>61</v>
      </c>
      <c r="C34" s="12" t="s">
        <v>48</v>
      </c>
      <c r="D34" s="9" t="n">
        <v>200</v>
      </c>
      <c r="E34" s="103"/>
      <c r="F34" s="103"/>
      <c r="G34" s="103"/>
      <c r="H34" s="104" t="n">
        <f aca="false">SUM(E34:G34)</f>
        <v>0</v>
      </c>
      <c r="I34" s="103"/>
      <c r="J34" s="103"/>
      <c r="K34" s="103"/>
      <c r="L34" s="104" t="n">
        <f aca="false">SUM(I34:K34)</f>
        <v>0</v>
      </c>
      <c r="M34" s="103"/>
      <c r="N34" s="103"/>
      <c r="O34" s="103"/>
      <c r="P34" s="104" t="n">
        <f aca="false">SUM(M34:O34)</f>
        <v>0</v>
      </c>
      <c r="Q34" s="103"/>
      <c r="R34" s="103"/>
      <c r="S34" s="103"/>
      <c r="T34" s="104" t="n">
        <f aca="false">SUM(Q34:S34)</f>
        <v>0</v>
      </c>
      <c r="U34" s="9" t="n">
        <f aca="false">H34+L34+P34+T34</f>
        <v>0</v>
      </c>
      <c r="V34" s="10" t="n">
        <f aca="false">IF(D34=0,0,U34/D34)</f>
        <v>0</v>
      </c>
    </row>
    <row r="35" customFormat="false" ht="15" hidden="false" customHeight="true" outlineLevel="0" collapsed="false">
      <c r="A35" s="1" t="s">
        <v>62</v>
      </c>
      <c r="B35" s="1" t="s">
        <v>63</v>
      </c>
      <c r="C35" s="12" t="s">
        <v>55</v>
      </c>
      <c r="D35" s="9" t="n">
        <v>18000</v>
      </c>
      <c r="E35" s="103"/>
      <c r="F35" s="103"/>
      <c r="G35" s="103"/>
      <c r="H35" s="104" t="n">
        <f aca="false">SUM(E35:G35)</f>
        <v>0</v>
      </c>
      <c r="I35" s="103"/>
      <c r="J35" s="103"/>
      <c r="K35" s="103"/>
      <c r="L35" s="104" t="n">
        <f aca="false">SUM(I35:K35)</f>
        <v>0</v>
      </c>
      <c r="M35" s="103"/>
      <c r="N35" s="103"/>
      <c r="O35" s="103"/>
      <c r="P35" s="104" t="n">
        <f aca="false">SUM(M35:O35)</f>
        <v>0</v>
      </c>
      <c r="Q35" s="103"/>
      <c r="R35" s="103"/>
      <c r="S35" s="103"/>
      <c r="T35" s="104" t="n">
        <f aca="false">SUM(Q35:S35)</f>
        <v>0</v>
      </c>
      <c r="U35" s="9" t="n">
        <f aca="false">H35+L35+P35+T35</f>
        <v>0</v>
      </c>
      <c r="V35" s="10" t="n">
        <f aca="false">IF(D35=0,0,U35/D35)</f>
        <v>0</v>
      </c>
    </row>
    <row r="36" customFormat="false" ht="15" hidden="false" customHeight="true" outlineLevel="0" collapsed="false">
      <c r="A36" s="1" t="s">
        <v>64</v>
      </c>
      <c r="B36" s="1" t="s">
        <v>65</v>
      </c>
      <c r="C36" s="12" t="s">
        <v>55</v>
      </c>
      <c r="D36" s="9" t="n">
        <v>300</v>
      </c>
      <c r="E36" s="103"/>
      <c r="F36" s="103"/>
      <c r="G36" s="103"/>
      <c r="H36" s="104" t="n">
        <f aca="false">SUM(E36:G36)</f>
        <v>0</v>
      </c>
      <c r="I36" s="103"/>
      <c r="J36" s="103"/>
      <c r="K36" s="103"/>
      <c r="L36" s="104" t="n">
        <f aca="false">SUM(I36:K36)</f>
        <v>0</v>
      </c>
      <c r="M36" s="103"/>
      <c r="N36" s="103"/>
      <c r="O36" s="103"/>
      <c r="P36" s="104" t="n">
        <f aca="false">SUM(M36:O36)</f>
        <v>0</v>
      </c>
      <c r="Q36" s="103"/>
      <c r="R36" s="103"/>
      <c r="S36" s="103"/>
      <c r="T36" s="104" t="n">
        <f aca="false">SUM(Q36:S36)</f>
        <v>0</v>
      </c>
      <c r="U36" s="9" t="n">
        <f aca="false">H36+L36+P36+T36</f>
        <v>0</v>
      </c>
      <c r="V36" s="10" t="n">
        <f aca="false">IF(D36=0,0,U36/D36)</f>
        <v>0</v>
      </c>
    </row>
    <row r="37" customFormat="false" ht="15" hidden="false" customHeight="true" outlineLevel="0" collapsed="false">
      <c r="A37" s="1" t="s">
        <v>66</v>
      </c>
      <c r="B37" s="1" t="s">
        <v>67</v>
      </c>
      <c r="C37" s="12" t="s">
        <v>55</v>
      </c>
      <c r="D37" s="9" t="n">
        <v>1800</v>
      </c>
      <c r="E37" s="103"/>
      <c r="F37" s="103"/>
      <c r="G37" s="103"/>
      <c r="H37" s="104" t="n">
        <f aca="false">SUM(E37:G37)</f>
        <v>0</v>
      </c>
      <c r="I37" s="103"/>
      <c r="J37" s="103"/>
      <c r="K37" s="103"/>
      <c r="L37" s="104" t="n">
        <f aca="false">SUM(I37:K37)</f>
        <v>0</v>
      </c>
      <c r="M37" s="103"/>
      <c r="N37" s="103"/>
      <c r="O37" s="103"/>
      <c r="P37" s="104" t="n">
        <f aca="false">SUM(M37:O37)</f>
        <v>0</v>
      </c>
      <c r="Q37" s="103"/>
      <c r="R37" s="103"/>
      <c r="S37" s="103"/>
      <c r="T37" s="104" t="n">
        <f aca="false">SUM(Q37:S37)</f>
        <v>0</v>
      </c>
      <c r="U37" s="9" t="n">
        <f aca="false">H37+L37+P37+T37</f>
        <v>0</v>
      </c>
      <c r="V37" s="10" t="n">
        <f aca="false">IF(D37=0,0,U37/D37)</f>
        <v>0</v>
      </c>
    </row>
    <row r="38" customFormat="false" ht="15" hidden="false" customHeight="true" outlineLevel="0" collapsed="false">
      <c r="A38" s="1" t="s">
        <v>68</v>
      </c>
      <c r="B38" s="1" t="s">
        <v>69</v>
      </c>
      <c r="C38" s="12" t="s">
        <v>55</v>
      </c>
      <c r="D38" s="9" t="n">
        <v>5000</v>
      </c>
      <c r="E38" s="103"/>
      <c r="F38" s="103"/>
      <c r="G38" s="103"/>
      <c r="H38" s="104" t="n">
        <f aca="false">SUM(E38:G38)</f>
        <v>0</v>
      </c>
      <c r="I38" s="103"/>
      <c r="J38" s="103"/>
      <c r="K38" s="103"/>
      <c r="L38" s="104" t="n">
        <f aca="false">SUM(I38:K38)</f>
        <v>0</v>
      </c>
      <c r="M38" s="103"/>
      <c r="N38" s="103"/>
      <c r="O38" s="103"/>
      <c r="P38" s="104" t="n">
        <f aca="false">SUM(M38:O38)</f>
        <v>0</v>
      </c>
      <c r="Q38" s="103"/>
      <c r="R38" s="103"/>
      <c r="S38" s="103"/>
      <c r="T38" s="104" t="n">
        <f aca="false">SUM(Q38:S38)</f>
        <v>0</v>
      </c>
      <c r="U38" s="9" t="n">
        <f aca="false">H38+L38+P38+T38</f>
        <v>0</v>
      </c>
      <c r="V38" s="10" t="n">
        <f aca="false">IF(D38=0,0,U38/D38)</f>
        <v>0</v>
      </c>
    </row>
    <row r="39" customFormat="false" ht="15" hidden="false" customHeight="true" outlineLevel="0" collapsed="false">
      <c r="A39" s="1" t="s">
        <v>70</v>
      </c>
      <c r="B39" s="1" t="s">
        <v>71</v>
      </c>
      <c r="C39" s="12" t="s">
        <v>48</v>
      </c>
      <c r="D39" s="9" t="n">
        <v>1800</v>
      </c>
      <c r="E39" s="103"/>
      <c r="F39" s="103"/>
      <c r="G39" s="103"/>
      <c r="H39" s="104" t="n">
        <f aca="false">SUM(E39:G39)</f>
        <v>0</v>
      </c>
      <c r="I39" s="103"/>
      <c r="J39" s="103"/>
      <c r="K39" s="103"/>
      <c r="L39" s="104" t="n">
        <f aca="false">SUM(I39:K39)</f>
        <v>0</v>
      </c>
      <c r="M39" s="103"/>
      <c r="N39" s="103"/>
      <c r="O39" s="103"/>
      <c r="P39" s="104" t="n">
        <f aca="false">SUM(M39:O39)</f>
        <v>0</v>
      </c>
      <c r="Q39" s="103"/>
      <c r="R39" s="103"/>
      <c r="S39" s="103"/>
      <c r="T39" s="104" t="n">
        <f aca="false">SUM(Q39:S39)</f>
        <v>0</v>
      </c>
      <c r="U39" s="9" t="n">
        <f aca="false">H39+L39+P39+T39</f>
        <v>0</v>
      </c>
      <c r="V39" s="10" t="n">
        <f aca="false">IF(D39=0,0,U39/D39)</f>
        <v>0</v>
      </c>
    </row>
    <row r="40" customFormat="false" ht="15" hidden="false" customHeight="true" outlineLevel="0" collapsed="false">
      <c r="A40" s="1" t="s">
        <v>72</v>
      </c>
      <c r="B40" s="1" t="s">
        <v>73</v>
      </c>
      <c r="C40" s="12" t="s">
        <v>48</v>
      </c>
      <c r="D40" s="9" t="n">
        <v>1000</v>
      </c>
      <c r="E40" s="103"/>
      <c r="F40" s="103"/>
      <c r="G40" s="103"/>
      <c r="H40" s="104" t="n">
        <f aca="false">SUM(E40:G40)</f>
        <v>0</v>
      </c>
      <c r="I40" s="103"/>
      <c r="J40" s="103"/>
      <c r="K40" s="103"/>
      <c r="L40" s="104" t="n">
        <f aca="false">SUM(I40:K40)</f>
        <v>0</v>
      </c>
      <c r="M40" s="103"/>
      <c r="N40" s="103"/>
      <c r="O40" s="103"/>
      <c r="P40" s="104" t="n">
        <f aca="false">SUM(M40:O40)</f>
        <v>0</v>
      </c>
      <c r="Q40" s="103"/>
      <c r="R40" s="103"/>
      <c r="S40" s="103"/>
      <c r="T40" s="104" t="n">
        <f aca="false">SUM(Q40:S40)</f>
        <v>0</v>
      </c>
      <c r="U40" s="9" t="n">
        <f aca="false">H40+L40+P40+T40</f>
        <v>0</v>
      </c>
      <c r="V40" s="10" t="n">
        <f aca="false">IF(D40=0,0,U40/D40)</f>
        <v>0</v>
      </c>
    </row>
    <row r="41" customFormat="false" ht="15" hidden="false" customHeight="true" outlineLevel="0" collapsed="false">
      <c r="A41" s="1" t="s">
        <v>74</v>
      </c>
      <c r="B41" s="1" t="s">
        <v>75</v>
      </c>
      <c r="C41" s="12" t="s">
        <v>55</v>
      </c>
      <c r="D41" s="9" t="n">
        <v>250</v>
      </c>
      <c r="E41" s="103"/>
      <c r="F41" s="103"/>
      <c r="G41" s="103"/>
      <c r="H41" s="104" t="n">
        <f aca="false">SUM(E41:G41)</f>
        <v>0</v>
      </c>
      <c r="I41" s="103"/>
      <c r="J41" s="103"/>
      <c r="K41" s="103"/>
      <c r="L41" s="104" t="n">
        <f aca="false">SUM(I41:K41)</f>
        <v>0</v>
      </c>
      <c r="M41" s="103"/>
      <c r="N41" s="103"/>
      <c r="O41" s="103"/>
      <c r="P41" s="104" t="n">
        <f aca="false">SUM(M41:O41)</f>
        <v>0</v>
      </c>
      <c r="Q41" s="103"/>
      <c r="R41" s="103"/>
      <c r="S41" s="103"/>
      <c r="T41" s="104" t="n">
        <f aca="false">SUM(Q41:S41)</f>
        <v>0</v>
      </c>
      <c r="U41" s="9" t="n">
        <f aca="false">H41+L41+P41+T41</f>
        <v>0</v>
      </c>
      <c r="V41" s="10" t="n">
        <f aca="false">IF(D41=0,0,U41/D41)</f>
        <v>0</v>
      </c>
    </row>
    <row r="42" customFormat="false" ht="15" hidden="false" customHeight="true" outlineLevel="0" collapsed="false">
      <c r="A42" s="1" t="s">
        <v>76</v>
      </c>
      <c r="B42" s="12" t="s">
        <v>77</v>
      </c>
      <c r="C42" s="12" t="s">
        <v>78</v>
      </c>
      <c r="D42" s="9" t="n">
        <v>50000</v>
      </c>
      <c r="E42" s="103"/>
      <c r="F42" s="103"/>
      <c r="G42" s="103"/>
      <c r="H42" s="104" t="n">
        <f aca="false">SUM(E42:G42)</f>
        <v>0</v>
      </c>
      <c r="I42" s="103"/>
      <c r="J42" s="103"/>
      <c r="K42" s="103"/>
      <c r="L42" s="104" t="n">
        <f aca="false">SUM(I42:K42)</f>
        <v>0</v>
      </c>
      <c r="M42" s="103"/>
      <c r="N42" s="103"/>
      <c r="O42" s="103"/>
      <c r="P42" s="104" t="n">
        <f aca="false">SUM(M42:O42)</f>
        <v>0</v>
      </c>
      <c r="Q42" s="103"/>
      <c r="R42" s="103"/>
      <c r="S42" s="103"/>
      <c r="T42" s="104" t="n">
        <f aca="false">SUM(Q42:S42)</f>
        <v>0</v>
      </c>
      <c r="U42" s="9" t="n">
        <f aca="false">H42+L42+P42+T42</f>
        <v>0</v>
      </c>
      <c r="V42" s="10" t="n">
        <f aca="false">IF(D42=0,0,U42/D42)</f>
        <v>0</v>
      </c>
    </row>
    <row r="43" customFormat="false" ht="15" hidden="false" customHeight="true" outlineLevel="0" collapsed="false">
      <c r="A43" s="1" t="n">
        <v>5600</v>
      </c>
      <c r="B43" s="12" t="s">
        <v>79</v>
      </c>
      <c r="C43" s="12"/>
      <c r="D43" s="9" t="n">
        <v>183967</v>
      </c>
      <c r="E43" s="103"/>
      <c r="F43" s="103"/>
      <c r="G43" s="103"/>
      <c r="H43" s="104" t="n">
        <f aca="false">SUM(E43:G43)</f>
        <v>0</v>
      </c>
      <c r="I43" s="103"/>
      <c r="J43" s="103"/>
      <c r="K43" s="103"/>
      <c r="L43" s="104" t="n">
        <f aca="false">SUM(I43:K43)</f>
        <v>0</v>
      </c>
      <c r="M43" s="103"/>
      <c r="N43" s="103"/>
      <c r="O43" s="103"/>
      <c r="P43" s="104" t="n">
        <f aca="false">SUM(M43:O43)</f>
        <v>0</v>
      </c>
      <c r="Q43" s="103"/>
      <c r="R43" s="103"/>
      <c r="S43" s="103"/>
      <c r="T43" s="104" t="n">
        <f aca="false">SUM(Q43:S43)</f>
        <v>0</v>
      </c>
      <c r="U43" s="9" t="n">
        <f aca="false">H43+L43+P43+T43</f>
        <v>0</v>
      </c>
      <c r="V43" s="10" t="n">
        <f aca="false">IF(D43=0,0,U43/D43)</f>
        <v>0</v>
      </c>
    </row>
    <row r="44" customFormat="false" ht="15" hidden="false" customHeight="true" outlineLevel="0" collapsed="false">
      <c r="B44" s="12" t="s">
        <v>80</v>
      </c>
      <c r="C44" s="12" t="s">
        <v>39</v>
      </c>
      <c r="D44" s="9" t="n">
        <v>55190</v>
      </c>
      <c r="E44" s="103"/>
      <c r="F44" s="103"/>
      <c r="G44" s="103"/>
      <c r="H44" s="104" t="n">
        <f aca="false">SUM(E44:G44)</f>
        <v>0</v>
      </c>
      <c r="I44" s="103"/>
      <c r="J44" s="103"/>
      <c r="K44" s="103"/>
      <c r="L44" s="104" t="n">
        <f aca="false">SUM(I44:K44)</f>
        <v>0</v>
      </c>
      <c r="M44" s="103"/>
      <c r="N44" s="103"/>
      <c r="O44" s="103"/>
      <c r="P44" s="104" t="n">
        <f aca="false">SUM(M44:O44)</f>
        <v>0</v>
      </c>
      <c r="Q44" s="103"/>
      <c r="R44" s="103"/>
      <c r="S44" s="103"/>
      <c r="T44" s="104" t="n">
        <f aca="false">SUM(Q44:S44)</f>
        <v>0</v>
      </c>
      <c r="U44" s="9" t="n">
        <f aca="false">H44+L44+P44+T44</f>
        <v>0</v>
      </c>
      <c r="V44" s="10" t="n">
        <f aca="false">IF(D44=0,0,U44/D44)</f>
        <v>0</v>
      </c>
    </row>
    <row r="45" customFormat="false" ht="15" hidden="false" customHeight="true" outlineLevel="0" collapsed="false">
      <c r="B45" s="1" t="s">
        <v>81</v>
      </c>
      <c r="C45" s="12" t="s">
        <v>55</v>
      </c>
      <c r="D45" s="9" t="n">
        <v>55190</v>
      </c>
      <c r="E45" s="103"/>
      <c r="F45" s="103"/>
      <c r="G45" s="103"/>
      <c r="H45" s="104" t="n">
        <f aca="false">SUM(E45:G45)</f>
        <v>0</v>
      </c>
      <c r="I45" s="103"/>
      <c r="J45" s="103"/>
      <c r="K45" s="103"/>
      <c r="L45" s="104" t="n">
        <f aca="false">SUM(I45:K45)</f>
        <v>0</v>
      </c>
      <c r="M45" s="103"/>
      <c r="N45" s="103"/>
      <c r="O45" s="103"/>
      <c r="P45" s="104" t="n">
        <f aca="false">SUM(M45:O45)</f>
        <v>0</v>
      </c>
      <c r="Q45" s="103"/>
      <c r="R45" s="103"/>
      <c r="S45" s="103"/>
      <c r="T45" s="104" t="n">
        <f aca="false">SUM(Q45:S45)</f>
        <v>0</v>
      </c>
      <c r="U45" s="9" t="n">
        <f aca="false">H45+L45+P45+T45</f>
        <v>0</v>
      </c>
      <c r="V45" s="10" t="n">
        <f aca="false">IF(D45=0,0,U45/D45)</f>
        <v>0</v>
      </c>
    </row>
    <row r="46" customFormat="false" ht="15" hidden="false" customHeight="true" outlineLevel="0" collapsed="false">
      <c r="B46" s="12" t="s">
        <v>82</v>
      </c>
      <c r="C46" s="12" t="s">
        <v>48</v>
      </c>
      <c r="D46" s="9" t="n">
        <v>73587</v>
      </c>
      <c r="E46" s="103"/>
      <c r="F46" s="103"/>
      <c r="G46" s="103"/>
      <c r="H46" s="104" t="n">
        <f aca="false">SUM(E46:G46)</f>
        <v>0</v>
      </c>
      <c r="I46" s="103"/>
      <c r="J46" s="103"/>
      <c r="K46" s="103"/>
      <c r="L46" s="104" t="n">
        <f aca="false">SUM(I46:K46)</f>
        <v>0</v>
      </c>
      <c r="M46" s="103"/>
      <c r="N46" s="103"/>
      <c r="O46" s="103"/>
      <c r="P46" s="104" t="n">
        <f aca="false">SUM(M46:O46)</f>
        <v>0</v>
      </c>
      <c r="Q46" s="103"/>
      <c r="R46" s="103"/>
      <c r="S46" s="103"/>
      <c r="T46" s="104" t="n">
        <f aca="false">SUM(Q46:S46)</f>
        <v>0</v>
      </c>
      <c r="U46" s="9" t="n">
        <f aca="false">H46+L46+P46+T46</f>
        <v>0</v>
      </c>
      <c r="V46" s="10" t="n">
        <f aca="false">IF(D46=0,0,U46/D46)</f>
        <v>0</v>
      </c>
    </row>
    <row r="47" customFormat="false" ht="15" hidden="false" customHeight="true" outlineLevel="0" collapsed="false">
      <c r="A47" s="1" t="n">
        <v>5601</v>
      </c>
      <c r="B47" s="12" t="s">
        <v>83</v>
      </c>
      <c r="C47" s="12"/>
      <c r="D47" s="9" t="n">
        <v>58713</v>
      </c>
      <c r="E47" s="103"/>
      <c r="F47" s="103"/>
      <c r="G47" s="103"/>
      <c r="H47" s="104" t="n">
        <f aca="false">SUM(E47:G47)</f>
        <v>0</v>
      </c>
      <c r="I47" s="103"/>
      <c r="J47" s="103"/>
      <c r="K47" s="103"/>
      <c r="L47" s="104" t="n">
        <f aca="false">SUM(I47:K47)</f>
        <v>0</v>
      </c>
      <c r="M47" s="103"/>
      <c r="N47" s="103"/>
      <c r="O47" s="103"/>
      <c r="P47" s="104" t="n">
        <f aca="false">SUM(M47:O47)</f>
        <v>0</v>
      </c>
      <c r="Q47" s="103"/>
      <c r="R47" s="103"/>
      <c r="S47" s="103"/>
      <c r="T47" s="104" t="n">
        <f aca="false">SUM(Q47:S47)</f>
        <v>0</v>
      </c>
      <c r="U47" s="9" t="n">
        <f aca="false">H47+L47+P47+T47</f>
        <v>0</v>
      </c>
      <c r="V47" s="10" t="n">
        <f aca="false">IF(D47=0,0,U47/D47)</f>
        <v>0</v>
      </c>
    </row>
    <row r="48" customFormat="false" ht="15" hidden="false" customHeight="true" outlineLevel="0" collapsed="false">
      <c r="B48" s="12" t="s">
        <v>84</v>
      </c>
      <c r="C48" s="12" t="s">
        <v>39</v>
      </c>
      <c r="D48" s="9" t="n">
        <v>5871</v>
      </c>
      <c r="E48" s="103"/>
      <c r="F48" s="103"/>
      <c r="G48" s="103"/>
      <c r="H48" s="104" t="n">
        <f aca="false">SUM(E48:G48)</f>
        <v>0</v>
      </c>
      <c r="I48" s="103"/>
      <c r="J48" s="103"/>
      <c r="K48" s="103"/>
      <c r="L48" s="104" t="n">
        <f aca="false">SUM(I48:K48)</f>
        <v>0</v>
      </c>
      <c r="M48" s="103"/>
      <c r="N48" s="103"/>
      <c r="O48" s="103"/>
      <c r="P48" s="104" t="n">
        <f aca="false">SUM(M48:O48)</f>
        <v>0</v>
      </c>
      <c r="Q48" s="103"/>
      <c r="R48" s="103"/>
      <c r="S48" s="103"/>
      <c r="T48" s="104" t="n">
        <f aca="false">SUM(Q48:S48)</f>
        <v>0</v>
      </c>
      <c r="U48" s="9" t="n">
        <f aca="false">H48+L48+P48+T48</f>
        <v>0</v>
      </c>
      <c r="V48" s="10" t="n">
        <f aca="false">IF(D48=0,0,U48/D48)</f>
        <v>0</v>
      </c>
    </row>
    <row r="49" customFormat="false" ht="15" hidden="false" customHeight="true" outlineLevel="0" collapsed="false">
      <c r="B49" s="1" t="s">
        <v>85</v>
      </c>
      <c r="C49" s="12" t="s">
        <v>55</v>
      </c>
      <c r="D49" s="9" t="n">
        <v>44035</v>
      </c>
      <c r="E49" s="103"/>
      <c r="F49" s="103"/>
      <c r="G49" s="103"/>
      <c r="H49" s="104" t="n">
        <f aca="false">SUM(E49:G49)</f>
        <v>0</v>
      </c>
      <c r="I49" s="103"/>
      <c r="J49" s="103"/>
      <c r="K49" s="103"/>
      <c r="L49" s="104" t="n">
        <f aca="false">SUM(I49:K49)</f>
        <v>0</v>
      </c>
      <c r="M49" s="103"/>
      <c r="N49" s="103"/>
      <c r="O49" s="103"/>
      <c r="P49" s="104" t="n">
        <f aca="false">SUM(M49:O49)</f>
        <v>0</v>
      </c>
      <c r="Q49" s="103"/>
      <c r="R49" s="103"/>
      <c r="S49" s="103"/>
      <c r="T49" s="104" t="n">
        <f aca="false">SUM(Q49:S49)</f>
        <v>0</v>
      </c>
      <c r="U49" s="9" t="n">
        <f aca="false">H49+L49+P49+T49</f>
        <v>0</v>
      </c>
      <c r="V49" s="10" t="n">
        <f aca="false">IF(D49=0,0,U49/D49)</f>
        <v>0</v>
      </c>
    </row>
    <row r="50" customFormat="false" ht="15" hidden="false" customHeight="true" outlineLevel="0" collapsed="false">
      <c r="B50" s="12" t="s">
        <v>86</v>
      </c>
      <c r="C50" s="12" t="s">
        <v>48</v>
      </c>
      <c r="D50" s="9" t="n">
        <v>8807</v>
      </c>
      <c r="E50" s="103"/>
      <c r="F50" s="103"/>
      <c r="G50" s="103"/>
      <c r="H50" s="104" t="n">
        <f aca="false">SUM(E50:G50)</f>
        <v>0</v>
      </c>
      <c r="I50" s="103"/>
      <c r="J50" s="103"/>
      <c r="K50" s="103"/>
      <c r="L50" s="104" t="n">
        <f aca="false">SUM(I50:K50)</f>
        <v>0</v>
      </c>
      <c r="M50" s="103"/>
      <c r="N50" s="103"/>
      <c r="O50" s="103"/>
      <c r="P50" s="104" t="n">
        <f aca="false">SUM(M50:O50)</f>
        <v>0</v>
      </c>
      <c r="Q50" s="103"/>
      <c r="R50" s="103"/>
      <c r="S50" s="103"/>
      <c r="T50" s="104" t="n">
        <f aca="false">SUM(Q50:S50)</f>
        <v>0</v>
      </c>
      <c r="U50" s="9" t="n">
        <f aca="false">H50+L50+P50+T50</f>
        <v>0</v>
      </c>
      <c r="V50" s="10" t="n">
        <f aca="false">IF(D50=0,0,U50/D50)</f>
        <v>0</v>
      </c>
    </row>
    <row r="51" customFormat="false" ht="15" hidden="false" customHeight="true" outlineLevel="0" collapsed="false">
      <c r="A51" s="1" t="n">
        <v>5610</v>
      </c>
      <c r="B51" s="12" t="s">
        <v>87</v>
      </c>
      <c r="C51" s="12"/>
      <c r="D51" s="9" t="n">
        <v>28000</v>
      </c>
      <c r="H51" s="1" t="n">
        <f aca="false">SUM(E51:G51)</f>
        <v>0</v>
      </c>
      <c r="L51" s="1" t="n">
        <f aca="false">SUM(I51:K51)</f>
        <v>0</v>
      </c>
      <c r="P51" s="1" t="n">
        <f aca="false">SUM(M51:O51)</f>
        <v>0</v>
      </c>
      <c r="T51" s="1" t="n">
        <f aca="false">SUM(Q51:S51)</f>
        <v>0</v>
      </c>
      <c r="U51" s="1" t="n">
        <f aca="false">H51+L51+P51+T51</f>
        <v>0</v>
      </c>
      <c r="V51" s="1" t="n">
        <f aca="false">IF(D51=0,0,U51/D51)</f>
        <v>0</v>
      </c>
    </row>
    <row r="52" customFormat="false" ht="15.75" hidden="false" customHeight="true" outlineLevel="0" collapsed="false">
      <c r="B52" s="1" t="s">
        <v>88</v>
      </c>
      <c r="C52" s="1" t="s">
        <v>55</v>
      </c>
      <c r="D52" s="1" t="n">
        <v>22400</v>
      </c>
      <c r="H52" s="1" t="n">
        <f aca="false">SUM(E52:G52)</f>
        <v>0</v>
      </c>
      <c r="L52" s="1" t="n">
        <f aca="false">SUM(I52:K52)</f>
        <v>0</v>
      </c>
      <c r="P52" s="1" t="n">
        <f aca="false">SUM(M52:O52)</f>
        <v>0</v>
      </c>
      <c r="T52" s="1" t="n">
        <f aca="false">SUM(Q52:S52)</f>
        <v>0</v>
      </c>
      <c r="U52" s="1" t="n">
        <f aca="false">H52+L52+P52+T52</f>
        <v>0</v>
      </c>
      <c r="V52" s="1" t="n">
        <f aca="false">IF(D52=0,0,U52/D52)</f>
        <v>0</v>
      </c>
    </row>
    <row r="53" customFormat="false" ht="15" hidden="false" customHeight="true" outlineLevel="0" collapsed="false">
      <c r="B53" s="12" t="s">
        <v>89</v>
      </c>
      <c r="C53" s="12" t="s">
        <v>48</v>
      </c>
      <c r="D53" s="1" t="n">
        <v>5600</v>
      </c>
      <c r="U53" s="1" t="n">
        <f aca="false">H53+L53+P53+T53</f>
        <v>0</v>
      </c>
    </row>
    <row r="54" customFormat="false" ht="15.75" hidden="false" customHeight="true" outlineLevel="0" collapsed="false">
      <c r="A54" s="1" t="n">
        <v>5620</v>
      </c>
      <c r="B54" s="12" t="s">
        <v>90</v>
      </c>
      <c r="C54" s="12"/>
      <c r="D54" s="1" t="n">
        <v>50000</v>
      </c>
      <c r="U54" s="1" t="n">
        <f aca="false">H54+L54+P54+T54</f>
        <v>0</v>
      </c>
    </row>
    <row r="55" customFormat="false" ht="15.75" hidden="false" customHeight="true" outlineLevel="0" collapsed="false">
      <c r="B55" s="1" t="s">
        <v>91</v>
      </c>
      <c r="C55" s="12" t="s">
        <v>39</v>
      </c>
      <c r="D55" s="1" t="n">
        <v>25000</v>
      </c>
      <c r="U55" s="1" t="n">
        <f aca="false">H55+L55+P55+T55</f>
        <v>0</v>
      </c>
    </row>
    <row r="56" customFormat="false" ht="15" hidden="false" customHeight="true" outlineLevel="0" collapsed="false">
      <c r="B56" s="1" t="s">
        <v>92</v>
      </c>
      <c r="C56" s="12" t="s">
        <v>55</v>
      </c>
      <c r="D56" s="1" t="n">
        <v>25000</v>
      </c>
      <c r="U56" s="1" t="n">
        <f aca="false">H56+L56+P56+T56</f>
        <v>0</v>
      </c>
    </row>
    <row r="57" customFormat="false" ht="15" hidden="false" customHeight="true" outlineLevel="0" collapsed="false">
      <c r="A57" s="1" t="n">
        <v>5640</v>
      </c>
      <c r="B57" s="1" t="s">
        <v>93</v>
      </c>
      <c r="C57" s="12" t="s">
        <v>48</v>
      </c>
      <c r="D57" s="1" t="n">
        <v>20000</v>
      </c>
      <c r="U57" s="1" t="n">
        <f aca="false">H57+L57+P57+T57</f>
        <v>0</v>
      </c>
    </row>
    <row r="58" customFormat="false" ht="15" hidden="false" customHeight="true" outlineLevel="0" collapsed="false">
      <c r="A58" s="112" t="n">
        <v>5630</v>
      </c>
      <c r="B58" s="113" t="s">
        <v>94</v>
      </c>
      <c r="C58" s="113" t="s">
        <v>48</v>
      </c>
      <c r="D58" s="114" t="n">
        <v>7500</v>
      </c>
      <c r="E58" s="114"/>
      <c r="F58" s="114"/>
      <c r="G58" s="114"/>
      <c r="H58" s="97"/>
      <c r="I58" s="114"/>
      <c r="J58" s="114"/>
      <c r="K58" s="114"/>
      <c r="L58" s="97"/>
      <c r="M58" s="114"/>
      <c r="N58" s="114"/>
      <c r="O58" s="114"/>
      <c r="P58" s="97"/>
      <c r="Q58" s="114"/>
      <c r="R58" s="114"/>
      <c r="S58" s="114"/>
      <c r="T58" s="97"/>
      <c r="U58" s="115" t="n">
        <f aca="false">H58+L58+P58+T58</f>
        <v>0</v>
      </c>
      <c r="V58" s="116"/>
    </row>
    <row r="59" customFormat="false" ht="15" hidden="false" customHeight="true" outlineLevel="0" collapsed="false">
      <c r="A59" s="1" t="n">
        <v>5650</v>
      </c>
      <c r="B59" s="1" t="s">
        <v>95</v>
      </c>
      <c r="C59" s="1" t="s">
        <v>48</v>
      </c>
      <c r="D59" s="1" t="n">
        <v>30000</v>
      </c>
      <c r="U59" s="1" t="n">
        <f aca="false">H59+L59+P59+T59</f>
        <v>0</v>
      </c>
    </row>
    <row r="60" customFormat="false" ht="15" hidden="false" customHeight="true" outlineLevel="0" collapsed="false">
      <c r="A60" s="117" t="s">
        <v>96</v>
      </c>
      <c r="B60" s="117"/>
      <c r="C60" s="35"/>
      <c r="D60" s="36" t="n">
        <v>513280</v>
      </c>
      <c r="E60" s="36" t="n">
        <f aca="false">SUM(E24:E52)</f>
        <v>0</v>
      </c>
      <c r="F60" s="36" t="n">
        <f aca="false">SUM(F24:F52)</f>
        <v>0</v>
      </c>
      <c r="G60" s="36" t="n">
        <f aca="false">SUM(G24:G52)</f>
        <v>0</v>
      </c>
      <c r="H60" s="118" t="n">
        <f aca="false">SUM(H24:H59)</f>
        <v>0</v>
      </c>
      <c r="I60" s="36" t="n">
        <f aca="false">SUM(I24:I52)</f>
        <v>0</v>
      </c>
      <c r="J60" s="36" t="n">
        <f aca="false">SUM(J24:J52)</f>
        <v>0</v>
      </c>
      <c r="K60" s="36" t="n">
        <f aca="false">SUM(K24:K52)</f>
        <v>0</v>
      </c>
      <c r="L60" s="118" t="n">
        <f aca="false">SUM(L24:L59)</f>
        <v>0</v>
      </c>
      <c r="M60" s="36" t="n">
        <f aca="false">SUM(M24:M52)</f>
        <v>0</v>
      </c>
      <c r="N60" s="36" t="n">
        <f aca="false">SUM(N24:N52)</f>
        <v>0</v>
      </c>
      <c r="O60" s="36" t="n">
        <f aca="false">SUM(O24:O52)</f>
        <v>0</v>
      </c>
      <c r="P60" s="118" t="n">
        <f aca="false">SUM(P24:P59)</f>
        <v>0</v>
      </c>
      <c r="Q60" s="36" t="n">
        <f aca="false">SUM(Q24:Q52)</f>
        <v>0</v>
      </c>
      <c r="R60" s="36" t="n">
        <f aca="false">SUM(R24:R52)</f>
        <v>0</v>
      </c>
      <c r="S60" s="36" t="n">
        <f aca="false">SUM(S24:S52)</f>
        <v>0</v>
      </c>
      <c r="T60" s="118" t="n">
        <f aca="false">SUM(T24:T59)</f>
        <v>0</v>
      </c>
      <c r="U60" s="119" t="n">
        <f aca="false">SUM(U24:U59)</f>
        <v>0</v>
      </c>
      <c r="V60" s="35" t="n">
        <f aca="false">IF(D53=0,0,U53/D53)</f>
        <v>0</v>
      </c>
    </row>
    <row r="61" customFormat="false" ht="15.75" hidden="false" customHeight="true" outlineLevel="0" collapsed="false"/>
    <row r="62" customFormat="false" ht="15.75" hidden="false" customHeight="true" outlineLevel="0" collapsed="false">
      <c r="A62" s="1" t="s">
        <v>100</v>
      </c>
      <c r="D62" s="1" t="n">
        <v>3720</v>
      </c>
      <c r="E62" s="1" t="n">
        <f aca="false">E21-E53</f>
        <v>4665</v>
      </c>
      <c r="F62" s="1" t="n">
        <f aca="false">F21-F53</f>
        <v>54961.85</v>
      </c>
      <c r="G62" s="1" t="n">
        <f aca="false">G21-G53</f>
        <v>11627.94</v>
      </c>
      <c r="H62" s="1" t="n">
        <f aca="false">H21-H60</f>
        <v>71254.79</v>
      </c>
      <c r="I62" s="1" t="n">
        <f aca="false">I21-I53</f>
        <v>0</v>
      </c>
      <c r="J62" s="1" t="n">
        <f aca="false">J21-J53</f>
        <v>0</v>
      </c>
      <c r="K62" s="1" t="n">
        <f aca="false">K21-K53</f>
        <v>0</v>
      </c>
      <c r="L62" s="1" t="n">
        <f aca="false">L21-L60</f>
        <v>0</v>
      </c>
      <c r="M62" s="1" t="n">
        <f aca="false">M21-M53</f>
        <v>0</v>
      </c>
      <c r="N62" s="1" t="n">
        <f aca="false">N21-N53</f>
        <v>0</v>
      </c>
      <c r="O62" s="1" t="n">
        <f aca="false">O21-O53</f>
        <v>0</v>
      </c>
      <c r="P62" s="1" t="n">
        <f aca="false">P21-P60</f>
        <v>0</v>
      </c>
      <c r="Q62" s="1" t="n">
        <f aca="false">Q21-Q53</f>
        <v>0</v>
      </c>
      <c r="R62" s="1" t="n">
        <f aca="false">R21-R53</f>
        <v>0</v>
      </c>
      <c r="S62" s="1" t="n">
        <f aca="false">S21-S53</f>
        <v>0</v>
      </c>
      <c r="T62" s="1" t="n">
        <f aca="false">T21-T60</f>
        <v>0</v>
      </c>
      <c r="U62" s="1" t="n">
        <f aca="false">U21-U60</f>
        <v>71254.79</v>
      </c>
    </row>
    <row r="63" customFormat="false" ht="15.75" hidden="false" customHeight="true" outlineLevel="0" collapsed="false">
      <c r="A63" s="95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1"/>
      <c r="W63" s="122"/>
      <c r="X63" s="122"/>
      <c r="Y63" s="122"/>
      <c r="Z63" s="122"/>
    </row>
    <row r="64" customFormat="false" ht="15.75" hidden="false" customHeight="true" outlineLevel="0" collapsed="false">
      <c r="C64" s="12"/>
      <c r="D64" s="33"/>
      <c r="E64" s="33"/>
      <c r="F64" s="33"/>
      <c r="G64" s="33"/>
      <c r="H64" s="123"/>
      <c r="I64" s="33"/>
      <c r="J64" s="33"/>
      <c r="K64" s="33"/>
      <c r="L64" s="123"/>
      <c r="M64" s="33"/>
      <c r="N64" s="33"/>
      <c r="O64" s="33"/>
      <c r="P64" s="123"/>
      <c r="Q64" s="33"/>
      <c r="R64" s="33"/>
      <c r="S64" s="33"/>
      <c r="T64" s="123"/>
      <c r="U64" s="124"/>
      <c r="V64" s="125"/>
    </row>
    <row r="65" customFormat="false" ht="15.75" hidden="false" customHeight="true" outlineLevel="0" collapsed="false">
      <c r="A65" s="1" t="s">
        <v>141</v>
      </c>
      <c r="C65" s="32"/>
      <c r="D65" s="33"/>
      <c r="E65" s="33"/>
      <c r="F65" s="33"/>
      <c r="G65" s="33"/>
      <c r="H65" s="123"/>
      <c r="I65" s="33"/>
      <c r="J65" s="33"/>
      <c r="K65" s="33"/>
      <c r="L65" s="123"/>
      <c r="M65" s="33"/>
      <c r="N65" s="33"/>
      <c r="O65" s="33"/>
      <c r="P65" s="123"/>
      <c r="Q65" s="33"/>
      <c r="R65" s="33"/>
      <c r="S65" s="33"/>
      <c r="T65" s="123"/>
      <c r="U65" s="124"/>
      <c r="V65" s="125"/>
    </row>
    <row r="66" customFormat="false" ht="15.75" hidden="false" customHeight="true" outlineLevel="0" collapsed="false">
      <c r="C66" s="32" t="s">
        <v>39</v>
      </c>
      <c r="D66" s="33" t="n">
        <f aca="false">SUMIF(C24:C52,"Development",D24:D52)</f>
        <v>96661</v>
      </c>
      <c r="E66" s="33" t="n">
        <f aca="false">SUMIF($C$24:$C$52,"Development",E24:E52)</f>
        <v>0</v>
      </c>
      <c r="F66" s="33" t="n">
        <f aca="false">SUMIF($C$24:$C$52,"Development",F24:F52)</f>
        <v>0</v>
      </c>
      <c r="G66" s="33" t="n">
        <f aca="false">SUMIF($C$24:$C$52,"Development",G24:G52)</f>
        <v>0</v>
      </c>
      <c r="H66" s="123" t="n">
        <f aca="false">SUMIF($C$24:$C$52,"Development",H24:H52)</f>
        <v>0</v>
      </c>
      <c r="I66" s="33" t="n">
        <f aca="false">SUMIF($C$24:$C$52,"Development",I24:I52)</f>
        <v>0</v>
      </c>
      <c r="J66" s="33" t="n">
        <f aca="false">SUMIF($C$24:$C$52,"Development",J24:J52)</f>
        <v>0</v>
      </c>
      <c r="K66" s="33" t="n">
        <f aca="false">SUMIF($C$24:$C$52,"Development",K24:K52)</f>
        <v>0</v>
      </c>
      <c r="L66" s="123" t="n">
        <f aca="false">SUMIF($C$24:$C$52,"Development",L24:L52)</f>
        <v>0</v>
      </c>
      <c r="M66" s="33" t="n">
        <f aca="false">SUMIF($C$24:$C$52,"Development",M24:M52)</f>
        <v>0</v>
      </c>
      <c r="N66" s="33" t="n">
        <f aca="false">SUMIF($C$24:$C$52,"Development",N24:N52)</f>
        <v>0</v>
      </c>
      <c r="O66" s="33" t="n">
        <f aca="false">SUMIF($C$24:$C$52,"Development",O24:O52)</f>
        <v>0</v>
      </c>
      <c r="P66" s="123" t="n">
        <f aca="false">SUMIF($C$24:$C$52,"Development",P24:P52)</f>
        <v>0</v>
      </c>
      <c r="Q66" s="33" t="n">
        <f aca="false">SUMIF($C$24:$C$52,"Development",Q24:Q52)</f>
        <v>0</v>
      </c>
      <c r="R66" s="33" t="n">
        <f aca="false">SUMIF($C$24:$C$52,"Development",R24:R52)</f>
        <v>0</v>
      </c>
      <c r="S66" s="33" t="n">
        <f aca="false">SUMIF($C$24:$C$52,"Development",S24:S52)</f>
        <v>0</v>
      </c>
      <c r="T66" s="123" t="n">
        <f aca="false">SUMIF($C$24:$C$52,"Development",T24:T52)</f>
        <v>0</v>
      </c>
      <c r="U66" s="124" t="n">
        <f aca="false">SUMIF($C$24:$C$52,"Development",U24:U52)</f>
        <v>0</v>
      </c>
      <c r="V66" s="125" t="n">
        <f aca="false">IF(D59=0,0,U59/D59)</f>
        <v>0</v>
      </c>
    </row>
    <row r="67" customFormat="false" ht="15.75" hidden="false" customHeight="true" outlineLevel="0" collapsed="false">
      <c r="C67" s="32" t="s">
        <v>55</v>
      </c>
      <c r="D67" s="33" t="n">
        <f aca="false">SUMIF(C24:C52,"Programs",D24:D52)</f>
        <v>149475</v>
      </c>
      <c r="E67" s="33" t="n">
        <f aca="false">SUMIF($C$24:$C$52,"Programs",E24:E52)</f>
        <v>0</v>
      </c>
      <c r="F67" s="33" t="n">
        <f aca="false">SUMIF($C$24:$C$52,"Programs",F24:F52)</f>
        <v>0</v>
      </c>
      <c r="G67" s="33" t="n">
        <f aca="false">SUMIF($C$24:$C$52,"Programs",G24:G52)</f>
        <v>0</v>
      </c>
      <c r="H67" s="123" t="n">
        <f aca="false">SUMIF($C$24:$C$52,"Programs",H24:H52)</f>
        <v>0</v>
      </c>
      <c r="I67" s="33" t="n">
        <f aca="false">SUMIF($C$24:$C$52,"Programs",I24:I52)</f>
        <v>0</v>
      </c>
      <c r="J67" s="33" t="n">
        <f aca="false">SUMIF($C$24:$C$52,"Programs",J24:J52)</f>
        <v>0</v>
      </c>
      <c r="K67" s="33" t="n">
        <f aca="false">SUMIF($C$24:$C$52,"Programs",K24:K52)</f>
        <v>0</v>
      </c>
      <c r="L67" s="123" t="n">
        <f aca="false">SUMIF($C$24:$C$52,"Programs",L24:L52)</f>
        <v>0</v>
      </c>
      <c r="M67" s="33" t="n">
        <f aca="false">SUMIF($C$24:$C$52,"Programs",M24:M52)</f>
        <v>0</v>
      </c>
      <c r="N67" s="33" t="n">
        <f aca="false">SUMIF($C$24:$C$52,"Programs",N24:N52)</f>
        <v>0</v>
      </c>
      <c r="O67" s="33" t="n">
        <f aca="false">SUMIF($C$24:$C$52,"Programs",O24:O52)</f>
        <v>0</v>
      </c>
      <c r="P67" s="123" t="n">
        <f aca="false">SUMIF($C$24:$C$52,"Programs",P24:P52)</f>
        <v>0</v>
      </c>
      <c r="Q67" s="33" t="n">
        <f aca="false">SUMIF($C$24:$C$52,"Programs",Q24:Q52)</f>
        <v>0</v>
      </c>
      <c r="R67" s="33" t="n">
        <f aca="false">SUMIF($C$24:$C$52,"Programs",R24:R52)</f>
        <v>0</v>
      </c>
      <c r="S67" s="33" t="n">
        <f aca="false">SUMIF($C$24:$C$52,"Programs",S24:S52)</f>
        <v>0</v>
      </c>
      <c r="T67" s="123" t="n">
        <f aca="false">SUMIF($C$24:$C$52,"Programs",T24:T52)</f>
        <v>0</v>
      </c>
      <c r="U67" s="124" t="n">
        <f aca="false">SUMIF($C$24:$C$52,"Programs",U24:U52)</f>
        <v>0</v>
      </c>
      <c r="V67" s="125" t="n">
        <f aca="false">IF(D60=0,0,U60/D60)</f>
        <v>0</v>
      </c>
    </row>
    <row r="68" customFormat="false" ht="15.75" hidden="false" customHeight="true" outlineLevel="0" collapsed="false">
      <c r="C68" s="1" t="s">
        <v>48</v>
      </c>
      <c r="D68" s="1" t="n">
        <f aca="false">SUMIF(C24:C52,"Overhead",D24:D52)</f>
        <v>104044</v>
      </c>
      <c r="E68" s="1" t="n">
        <f aca="false">SUMIF($C$24:$C$52,"Overhead",E24:E52)</f>
        <v>0</v>
      </c>
      <c r="F68" s="1" t="n">
        <f aca="false">SUMIF($C$24:$C$52,"Overhead",F24:F52)</f>
        <v>0</v>
      </c>
      <c r="G68" s="1" t="n">
        <f aca="false">SUMIF($C$24:$C$52,"Overhead",G24:G52)</f>
        <v>0</v>
      </c>
      <c r="H68" s="1" t="n">
        <f aca="false">SUMIF($C$24:$C$52,"Overhead",H24:H52)</f>
        <v>0</v>
      </c>
      <c r="I68" s="1" t="n">
        <f aca="false">SUMIF($C$24:$C$52,"Overhead",I24:I52)</f>
        <v>0</v>
      </c>
      <c r="J68" s="1" t="n">
        <f aca="false">SUMIF($C$24:$C$52,"Overhead",J24:J52)</f>
        <v>0</v>
      </c>
      <c r="K68" s="1" t="n">
        <f aca="false">SUMIF($C$24:$C$52,"Overhead",K24:K52)</f>
        <v>0</v>
      </c>
      <c r="L68" s="1" t="n">
        <f aca="false">SUMIF($C$24:$C$52,"Overhead",L24:L52)</f>
        <v>0</v>
      </c>
      <c r="M68" s="1" t="n">
        <f aca="false">SUMIF($C$24:$C$52,"Overhead",M24:M52)</f>
        <v>0</v>
      </c>
      <c r="N68" s="1" t="n">
        <f aca="false">SUMIF($C$24:$C$52,"Overhead",N24:N52)</f>
        <v>0</v>
      </c>
      <c r="O68" s="1" t="n">
        <f aca="false">SUMIF($C$24:$C$52,"Overhead",O24:O52)</f>
        <v>0</v>
      </c>
      <c r="P68" s="1" t="n">
        <f aca="false">SUMIF($C$24:$C$52,"Overhead",P24:P52)</f>
        <v>0</v>
      </c>
      <c r="Q68" s="1" t="n">
        <f aca="false">SUMIF($C$24:$C$52,"Overhead",Q24:Q52)</f>
        <v>0</v>
      </c>
      <c r="R68" s="1" t="n">
        <f aca="false">SUMIF($C$24:$C$52,"Overhead",R24:R52)</f>
        <v>0</v>
      </c>
      <c r="S68" s="1" t="n">
        <f aca="false">SUMIF($C$24:$C$52,"Overhead",S24:S52)</f>
        <v>0</v>
      </c>
      <c r="T68" s="1" t="n">
        <f aca="false">SUMIF($C$24:$C$52,"Overhead",T24:T52)</f>
        <v>0</v>
      </c>
      <c r="U68" s="1" t="n">
        <f aca="false">SUMIF($C$24:$C$52,"Overhead",U24:U52)</f>
        <v>0</v>
      </c>
      <c r="V68" s="1" t="n">
        <f aca="false">IF(D61=0,0,U61/D61)</f>
        <v>0</v>
      </c>
    </row>
    <row r="69" customFormat="false" ht="15.75" hidden="false" customHeight="true" outlineLevel="0" collapsed="false">
      <c r="C69" s="1" t="s">
        <v>78</v>
      </c>
      <c r="D69" s="1" t="n">
        <f aca="false">SUMIF(C24:C52,"Grantmaking",D24:D52)</f>
        <v>50000</v>
      </c>
      <c r="E69" s="1" t="n">
        <f aca="false">SUMIF($C$24:$C$52,"Grantmaking",E24:E52)</f>
        <v>0</v>
      </c>
      <c r="F69" s="1" t="n">
        <f aca="false">SUMIF($C$24:$C$52,"Grantmaking",F24:F52)</f>
        <v>0</v>
      </c>
      <c r="G69" s="1" t="n">
        <f aca="false">SUMIF($C$24:$C$52,"Grantmaking",G24:G52)</f>
        <v>0</v>
      </c>
      <c r="H69" s="1" t="n">
        <f aca="false">SUMIF($C$24:$C$52,"Grantmaking",H24:H52)</f>
        <v>0</v>
      </c>
      <c r="I69" s="1" t="n">
        <f aca="false">SUMIF($C$24:$C$52,"Grantmaking",I24:I52)</f>
        <v>0</v>
      </c>
      <c r="J69" s="1" t="n">
        <f aca="false">SUMIF($C$24:$C$52,"Grantmaking",J24:J52)</f>
        <v>0</v>
      </c>
      <c r="K69" s="1" t="n">
        <f aca="false">SUMIF($C$24:$C$52,"Grantmaking",K24:K52)</f>
        <v>0</v>
      </c>
      <c r="L69" s="1" t="n">
        <f aca="false">SUMIF($C$24:$C$52,"Grantmaking",L24:L52)</f>
        <v>0</v>
      </c>
      <c r="M69" s="1" t="n">
        <f aca="false">SUMIF($C$24:$C$52,"Grantmaking",M24:M52)</f>
        <v>0</v>
      </c>
      <c r="N69" s="1" t="n">
        <f aca="false">SUMIF($C$24:$C$52,"Grantmaking",N24:N52)</f>
        <v>0</v>
      </c>
      <c r="O69" s="1" t="n">
        <f aca="false">SUMIF($C$24:$C$52,"Grantmaking",O24:O52)</f>
        <v>0</v>
      </c>
      <c r="P69" s="1" t="n">
        <f aca="false">SUMIF($C$24:$C$52,"Grantmaking",P24:P52)</f>
        <v>0</v>
      </c>
      <c r="Q69" s="1" t="n">
        <f aca="false">SUMIF($C$24:$C$52,"Grantmaking",Q24:Q52)</f>
        <v>0</v>
      </c>
      <c r="R69" s="1" t="n">
        <f aca="false">SUMIF($C$24:$C$52,"Grantmaking",R24:R52)</f>
        <v>0</v>
      </c>
      <c r="S69" s="1" t="n">
        <f aca="false">SUMIF($C$24:$C$52,"Grantmaking",S24:S52)</f>
        <v>0</v>
      </c>
      <c r="T69" s="1" t="n">
        <f aca="false">SUMIF($C$24:$C$52,"Grantmaking",T24:T52)</f>
        <v>0</v>
      </c>
      <c r="U69" s="1" t="n">
        <f aca="false">SUMIF($C$24:$C$52,"Grantmaking",U24:U52)</f>
        <v>0</v>
      </c>
      <c r="V69" s="1" t="n">
        <f aca="false">IF(D62=0,0,U62/D62)</f>
        <v>19.1545134408602</v>
      </c>
    </row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mergeCells count="3">
    <mergeCell ref="A1:V1"/>
    <mergeCell ref="A5:V5"/>
    <mergeCell ref="A23:V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7" min="2" style="1" width="12"/>
    <col collapsed="false" customWidth="true" hidden="false" outlineLevel="0" max="9" min="8" style="1" width="13.29"/>
    <col collapsed="false" customWidth="true" hidden="false" outlineLevel="0" max="10" min="10" style="1" width="12.57"/>
    <col collapsed="false" customWidth="true" hidden="false" outlineLevel="0" max="11" min="11" style="1" width="13.29"/>
    <col collapsed="false" customWidth="true" hidden="false" outlineLevel="0" max="15" min="12" style="1" width="12"/>
    <col collapsed="false" customWidth="true" hidden="false" outlineLevel="0" max="26" min="16" style="1" width="8.71"/>
  </cols>
  <sheetData>
    <row r="1" customFormat="false" ht="19.5" hidden="false" customHeight="true" outlineLevel="0" collapsed="false">
      <c r="A1" s="126" t="s">
        <v>142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</row>
    <row r="2" customFormat="false" ht="15" hidden="false" customHeight="true" outlineLevel="0" collapsed="false">
      <c r="A2" s="32" t="s">
        <v>143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customFormat="false" ht="15" hidden="false" customHeight="true" outlineLevel="0" collapsed="false"/>
    <row r="4" customFormat="false" ht="15" hidden="false" customHeight="true" outlineLevel="0" collapsed="false">
      <c r="A4" s="42" t="s">
        <v>144</v>
      </c>
      <c r="B4" s="42" t="s">
        <v>115</v>
      </c>
      <c r="C4" s="42" t="s">
        <v>116</v>
      </c>
      <c r="D4" s="42" t="s">
        <v>117</v>
      </c>
      <c r="E4" s="42" t="s">
        <v>118</v>
      </c>
      <c r="F4" s="42" t="s">
        <v>145</v>
      </c>
      <c r="G4" s="42" t="s">
        <v>107</v>
      </c>
      <c r="H4" s="42" t="s">
        <v>146</v>
      </c>
      <c r="I4" s="42" t="s">
        <v>108</v>
      </c>
      <c r="J4" s="42" t="s">
        <v>147</v>
      </c>
      <c r="K4" s="42" t="s">
        <v>110</v>
      </c>
      <c r="L4" s="42" t="s">
        <v>148</v>
      </c>
      <c r="M4" s="42" t="s">
        <v>149</v>
      </c>
      <c r="N4" s="42" t="s">
        <v>150</v>
      </c>
      <c r="O4" s="42" t="s">
        <v>151</v>
      </c>
    </row>
    <row r="5" customFormat="false" ht="15" hidden="false" customHeight="true" outlineLevel="0" collapsed="false">
      <c r="A5" s="1" t="s">
        <v>11</v>
      </c>
      <c r="B5" s="127" t="n">
        <v>74317</v>
      </c>
      <c r="C5" s="127" t="n">
        <v>82970</v>
      </c>
      <c r="D5" s="127" t="n">
        <v>120435</v>
      </c>
      <c r="E5" s="127" t="n">
        <v>96823</v>
      </c>
      <c r="F5" s="128" t="n">
        <v>139000</v>
      </c>
      <c r="G5" s="128" t="n">
        <v>362109</v>
      </c>
      <c r="H5" s="129" t="n">
        <f aca="false">IF(F5=0,0,G5/F5)</f>
        <v>2.60510071942446</v>
      </c>
      <c r="I5" s="130" t="n">
        <f aca="false">'Current Year'!D6</f>
        <v>385000</v>
      </c>
      <c r="J5" s="130" t="n">
        <f aca="false">'Progress Tracker'!U6</f>
        <v>54740</v>
      </c>
      <c r="K5" s="131" t="n">
        <f aca="false">IF(I5=0,0,J5/I5)</f>
        <v>0.142181818181818</v>
      </c>
      <c r="L5" s="132"/>
      <c r="M5" s="132"/>
      <c r="N5" s="132"/>
      <c r="O5" s="132"/>
    </row>
    <row r="6" customFormat="false" ht="15" hidden="false" customHeight="true" outlineLevel="0" collapsed="false">
      <c r="A6" s="1" t="s">
        <v>19</v>
      </c>
      <c r="B6" s="127" t="n">
        <v>963</v>
      </c>
      <c r="C6" s="127" t="n">
        <v>1443</v>
      </c>
      <c r="D6" s="127" t="n">
        <v>0</v>
      </c>
      <c r="E6" s="127" t="n">
        <v>0</v>
      </c>
      <c r="F6" s="128" t="n">
        <v>1500</v>
      </c>
      <c r="G6" s="128" t="n">
        <v>1142</v>
      </c>
      <c r="H6" s="129" t="n">
        <f aca="false">IF(F6=0,0,G6/F6)</f>
        <v>0.761333333333333</v>
      </c>
      <c r="I6" s="130" t="n">
        <f aca="false">'Current Year'!D13</f>
        <v>2000</v>
      </c>
      <c r="J6" s="130" t="n">
        <f aca="false">'Progress Tracker'!U13</f>
        <v>0</v>
      </c>
      <c r="K6" s="131" t="n">
        <f aca="false">IF(I6=0,0,J6/I6)</f>
        <v>0</v>
      </c>
      <c r="L6" s="132"/>
      <c r="M6" s="132"/>
      <c r="N6" s="132"/>
      <c r="O6" s="132"/>
    </row>
    <row r="7" customFormat="false" ht="15" hidden="false" customHeight="true" outlineLevel="0" collapsed="false">
      <c r="A7" s="1" t="s">
        <v>21</v>
      </c>
      <c r="B7" s="127" t="n">
        <v>0</v>
      </c>
      <c r="C7" s="127" t="n">
        <v>0</v>
      </c>
      <c r="D7" s="127" t="n">
        <v>0</v>
      </c>
      <c r="E7" s="127" t="n">
        <v>0</v>
      </c>
      <c r="F7" s="128" t="n">
        <v>25000</v>
      </c>
      <c r="G7" s="128" t="n">
        <v>9323</v>
      </c>
      <c r="H7" s="129" t="n">
        <f aca="false">IF(F7=0,0,G7/F7)</f>
        <v>0.37292</v>
      </c>
      <c r="I7" s="130" t="n">
        <f aca="false">'Current Year'!D14</f>
        <v>20000</v>
      </c>
      <c r="J7" s="130" t="n">
        <f aca="false">'Progress Tracker'!U14</f>
        <v>0</v>
      </c>
      <c r="K7" s="131" t="n">
        <f aca="false">IF(I7=0,0,J7/I7)</f>
        <v>0</v>
      </c>
      <c r="L7" s="132"/>
      <c r="M7" s="132"/>
      <c r="N7" s="132"/>
      <c r="O7" s="132"/>
    </row>
    <row r="8" customFormat="false" ht="15" hidden="false" customHeight="true" outlineLevel="0" collapsed="false">
      <c r="A8" s="1" t="s">
        <v>23</v>
      </c>
      <c r="B8" s="127" t="n">
        <v>0</v>
      </c>
      <c r="C8" s="127" t="n">
        <v>0</v>
      </c>
      <c r="D8" s="127" t="n">
        <v>0</v>
      </c>
      <c r="E8" s="127" t="n">
        <v>0</v>
      </c>
      <c r="F8" s="128" t="n">
        <v>0</v>
      </c>
      <c r="G8" s="128" t="n">
        <v>0</v>
      </c>
      <c r="H8" s="129" t="n">
        <f aca="false">IF(F8=0,0,G8/F8)</f>
        <v>0</v>
      </c>
      <c r="I8" s="130" t="n">
        <f aca="false">'Current Year'!D15</f>
        <v>0</v>
      </c>
      <c r="J8" s="130" t="n">
        <f aca="false">'Progress Tracker'!U15</f>
        <v>0</v>
      </c>
      <c r="K8" s="131" t="n">
        <f aca="false">IF(I8=0,0,J8/I8)</f>
        <v>0</v>
      </c>
      <c r="L8" s="132"/>
      <c r="M8" s="132"/>
      <c r="N8" s="132"/>
      <c r="O8" s="132"/>
    </row>
    <row r="9" customFormat="false" ht="15" hidden="false" customHeight="true" outlineLevel="0" collapsed="false">
      <c r="A9" s="1" t="s">
        <v>25</v>
      </c>
      <c r="B9" s="127" t="n">
        <v>0</v>
      </c>
      <c r="C9" s="127" t="n">
        <v>0</v>
      </c>
      <c r="D9" s="127" t="n">
        <v>0</v>
      </c>
      <c r="E9" s="127" t="n">
        <v>0</v>
      </c>
      <c r="F9" s="128" t="n">
        <v>50000</v>
      </c>
      <c r="G9" s="128" t="n">
        <v>94011</v>
      </c>
      <c r="H9" s="129" t="n">
        <f aca="false">IF(F9=0,0,G9/F9)</f>
        <v>1.88022</v>
      </c>
      <c r="I9" s="130" t="n">
        <f aca="false">'Current Year'!D16</f>
        <v>100000</v>
      </c>
      <c r="J9" s="130" t="n">
        <f aca="false">'Progress Tracker'!U16</f>
        <v>12899.79</v>
      </c>
      <c r="K9" s="131" t="n">
        <f aca="false">IF(I9=0,0,J9/I9)</f>
        <v>0.1289979</v>
      </c>
      <c r="L9" s="132"/>
      <c r="M9" s="132"/>
      <c r="N9" s="132"/>
      <c r="O9" s="132"/>
    </row>
    <row r="10" customFormat="false" ht="15" hidden="false" customHeight="true" outlineLevel="0" collapsed="false">
      <c r="A10" s="1" t="s">
        <v>27</v>
      </c>
      <c r="B10" s="127" t="n">
        <v>0</v>
      </c>
      <c r="C10" s="127" t="n">
        <v>0</v>
      </c>
      <c r="D10" s="127" t="n">
        <v>0</v>
      </c>
      <c r="E10" s="127" t="n">
        <v>0</v>
      </c>
      <c r="F10" s="128" t="n">
        <v>0</v>
      </c>
      <c r="G10" s="128" t="n">
        <v>6513</v>
      </c>
      <c r="H10" s="129" t="n">
        <f aca="false">IF(F10=0,0,G10/F10)</f>
        <v>0</v>
      </c>
      <c r="I10" s="130" t="n">
        <f aca="false">'Current Year'!D17</f>
        <v>10000</v>
      </c>
      <c r="J10" s="130" t="n">
        <f aca="false">'Progress Tracker'!U17</f>
        <v>3615</v>
      </c>
      <c r="K10" s="131" t="n">
        <f aca="false">IF(I10=0,0,J10/I10)</f>
        <v>0.3615</v>
      </c>
      <c r="L10" s="132"/>
      <c r="M10" s="132"/>
      <c r="N10" s="132"/>
      <c r="O10" s="132"/>
    </row>
    <row r="11" customFormat="false" ht="15" hidden="false" customHeight="true" outlineLevel="0" collapsed="false">
      <c r="A11" s="1" t="s">
        <v>112</v>
      </c>
      <c r="B11" s="127" t="n">
        <v>0</v>
      </c>
      <c r="C11" s="127" t="n">
        <v>0</v>
      </c>
      <c r="D11" s="127" t="n">
        <v>0</v>
      </c>
      <c r="E11" s="127" t="n">
        <v>0</v>
      </c>
      <c r="F11" s="128" t="n">
        <v>0</v>
      </c>
      <c r="G11" s="128" t="n">
        <v>1278</v>
      </c>
      <c r="H11" s="129" t="n">
        <f aca="false">IF(F11=0,0,G11/F11)</f>
        <v>0</v>
      </c>
      <c r="I11" s="130" t="n">
        <f aca="false">'Current Year'!D20</f>
        <v>0</v>
      </c>
      <c r="J11" s="130" t="n">
        <f aca="false">'Progress Tracker'!U20</f>
        <v>0</v>
      </c>
      <c r="K11" s="131" t="n">
        <f aca="false">IF(I11=0,0,J11/I11)</f>
        <v>0</v>
      </c>
      <c r="L11" s="132"/>
      <c r="M11" s="132"/>
      <c r="N11" s="132"/>
      <c r="O11" s="132"/>
    </row>
    <row r="12" customFormat="false" ht="15" hidden="false" customHeight="true" outlineLevel="0" collapsed="false">
      <c r="A12" s="52" t="s">
        <v>34</v>
      </c>
      <c r="B12" s="133" t="n">
        <v>200963</v>
      </c>
      <c r="C12" s="133" t="n">
        <v>205000</v>
      </c>
      <c r="D12" s="133" t="n">
        <v>200000</v>
      </c>
      <c r="E12" s="133" t="n">
        <v>359823</v>
      </c>
      <c r="F12" s="133" t="n">
        <v>465636</v>
      </c>
      <c r="G12" s="133" t="n">
        <v>474376</v>
      </c>
      <c r="H12" s="134" t="n">
        <f aca="false">IF(F12=0,0,G12/F12)</f>
        <v>1.01877002637253</v>
      </c>
      <c r="I12" s="133" t="n">
        <f aca="false">'Current Year'!D21</f>
        <v>517000</v>
      </c>
      <c r="J12" s="133" t="n">
        <f aca="false">'Progress Tracker'!U21</f>
        <v>71254.79</v>
      </c>
      <c r="K12" s="134" t="n">
        <f aca="false">IF(I12=0,0,J12/I12)</f>
        <v>0.137823578336557</v>
      </c>
      <c r="L12" s="133"/>
      <c r="M12" s="133"/>
      <c r="N12" s="133"/>
      <c r="O12" s="133"/>
    </row>
    <row r="13" customFormat="false" ht="15" hidden="false" customHeight="true" outlineLevel="0" collapsed="false"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</row>
    <row r="14" customFormat="false" ht="15" hidden="false" customHeight="true" outlineLevel="0" collapsed="false">
      <c r="A14" s="1" t="s">
        <v>152</v>
      </c>
      <c r="B14" s="127" t="n">
        <v>79973</v>
      </c>
      <c r="C14" s="127" t="n">
        <v>55570</v>
      </c>
      <c r="D14" s="127" t="n">
        <v>57000</v>
      </c>
      <c r="E14" s="127" t="n">
        <v>79800</v>
      </c>
      <c r="F14" s="128" t="n">
        <v>75000</v>
      </c>
      <c r="G14" s="128" t="n">
        <v>31603</v>
      </c>
      <c r="H14" s="129" t="n">
        <f aca="false">IF(F14=0,0,G14/F14)</f>
        <v>0.421373333333333</v>
      </c>
      <c r="I14" s="130" t="n">
        <f aca="false">'Current Year'!E67</f>
        <v>50000</v>
      </c>
      <c r="J14" s="130" t="n">
        <f aca="false">'Progress Tracker'!U69</f>
        <v>0</v>
      </c>
      <c r="K14" s="131" t="n">
        <f aca="false">IF(I14=0,0,J14/I14)</f>
        <v>0</v>
      </c>
      <c r="L14" s="132"/>
      <c r="M14" s="132"/>
      <c r="N14" s="132"/>
      <c r="O14" s="132"/>
    </row>
    <row r="15" customFormat="false" ht="15" hidden="false" customHeight="true" outlineLevel="0" collapsed="false">
      <c r="A15" s="1" t="s">
        <v>153</v>
      </c>
      <c r="B15" s="127" t="n">
        <v>21341</v>
      </c>
      <c r="C15" s="127" t="n">
        <v>31773</v>
      </c>
      <c r="D15" s="127" t="n">
        <v>19862</v>
      </c>
      <c r="E15" s="127" t="n">
        <v>33964</v>
      </c>
      <c r="F15" s="128" t="n">
        <v>57000</v>
      </c>
      <c r="G15" s="128" t="n">
        <v>177910</v>
      </c>
      <c r="H15" s="129" t="n">
        <f aca="false">IF(F15=0,0,G15/F15)</f>
        <v>3.12122807017544</v>
      </c>
      <c r="I15" s="130" t="n">
        <f aca="false">'Current Year'!E64</f>
        <v>121661</v>
      </c>
      <c r="J15" s="130" t="n">
        <f aca="false">'Progress Tracker'!U66</f>
        <v>0</v>
      </c>
      <c r="K15" s="131" t="n">
        <f aca="false">IF(I15=0,0,J15/I15)</f>
        <v>0</v>
      </c>
      <c r="L15" s="132"/>
      <c r="M15" s="132"/>
      <c r="N15" s="132"/>
      <c r="O15" s="132"/>
    </row>
    <row r="16" customFormat="false" ht="15" hidden="false" customHeight="true" outlineLevel="0" collapsed="false">
      <c r="A16" s="1" t="s">
        <v>154</v>
      </c>
      <c r="B16" s="127" t="n">
        <v>0</v>
      </c>
      <c r="C16" s="127" t="n">
        <v>0</v>
      </c>
      <c r="D16" s="127" t="n">
        <v>0</v>
      </c>
      <c r="E16" s="127" t="n">
        <v>114416</v>
      </c>
      <c r="F16" s="128" t="n">
        <v>146250</v>
      </c>
      <c r="G16" s="128" t="n">
        <v>173736</v>
      </c>
      <c r="H16" s="129" t="n">
        <f aca="false">IF(F16=0,0,G16/F16)</f>
        <v>1.18793846153846</v>
      </c>
      <c r="I16" s="130" t="n">
        <f aca="false">'Current Year'!E65</f>
        <v>174475</v>
      </c>
      <c r="J16" s="130" t="n">
        <f aca="false">'Progress Tracker'!U67</f>
        <v>0</v>
      </c>
      <c r="K16" s="131" t="n">
        <f aca="false">IF(I16=0,0,J16/I16)</f>
        <v>0</v>
      </c>
      <c r="L16" s="132"/>
      <c r="M16" s="132"/>
      <c r="N16" s="132"/>
      <c r="O16" s="132"/>
    </row>
    <row r="17" customFormat="false" ht="15" hidden="false" customHeight="true" outlineLevel="0" collapsed="false">
      <c r="A17" s="1" t="s">
        <v>155</v>
      </c>
      <c r="B17" s="127" t="n">
        <v>132345</v>
      </c>
      <c r="C17" s="127" t="n">
        <v>196162</v>
      </c>
      <c r="D17" s="127" t="n">
        <v>262979</v>
      </c>
      <c r="E17" s="127" t="n">
        <v>142126</v>
      </c>
      <c r="F17" s="128" t="n">
        <v>178750</v>
      </c>
      <c r="G17" s="128" t="n">
        <v>54174</v>
      </c>
      <c r="H17" s="129" t="n">
        <f aca="false">IF(F17=0,0,G17/F17)</f>
        <v>0.303071328671329</v>
      </c>
      <c r="I17" s="130" t="n">
        <f aca="false">'Current Year'!E66</f>
        <v>167144</v>
      </c>
      <c r="J17" s="130" t="n">
        <f aca="false">'Progress Tracker'!U68</f>
        <v>0</v>
      </c>
      <c r="K17" s="131" t="n">
        <f aca="false">IF(I17=0,0,J17/I17)</f>
        <v>0</v>
      </c>
      <c r="L17" s="132"/>
      <c r="M17" s="132"/>
      <c r="N17" s="132"/>
      <c r="O17" s="132"/>
    </row>
    <row r="18" customFormat="false" ht="15" hidden="false" customHeight="true" outlineLevel="0" collapsed="false">
      <c r="A18" s="135" t="s">
        <v>96</v>
      </c>
      <c r="B18" s="136" t="n">
        <v>233659</v>
      </c>
      <c r="C18" s="136" t="n">
        <v>283505</v>
      </c>
      <c r="D18" s="136" t="n">
        <v>339841</v>
      </c>
      <c r="E18" s="136" t="n">
        <v>370306</v>
      </c>
      <c r="F18" s="136" t="n">
        <v>457000</v>
      </c>
      <c r="G18" s="136" t="n">
        <v>437423</v>
      </c>
      <c r="H18" s="137" t="n">
        <f aca="false">IF(F18=0,0,G18/F18)</f>
        <v>0.957161925601751</v>
      </c>
      <c r="I18" s="136" t="n">
        <f aca="false">'Current Year'!D61</f>
        <v>513280</v>
      </c>
      <c r="J18" s="136" t="n">
        <f aca="false">'Progress Tracker'!U60</f>
        <v>0</v>
      </c>
      <c r="K18" s="137" t="n">
        <f aca="false">IF(I18=0,0,J18/I18)</f>
        <v>0</v>
      </c>
      <c r="L18" s="136"/>
      <c r="M18" s="136"/>
      <c r="N18" s="136"/>
      <c r="O18" s="136"/>
    </row>
    <row r="19" customFormat="false" ht="15" hidden="false" customHeight="true" outlineLevel="0" collapsed="false"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</row>
    <row r="20" customFormat="false" ht="15" hidden="false" customHeight="true" outlineLevel="0" collapsed="false">
      <c r="A20" s="138" t="s">
        <v>100</v>
      </c>
      <c r="B20" s="139" t="n">
        <v>-32696</v>
      </c>
      <c r="C20" s="139" t="n">
        <v>-78505</v>
      </c>
      <c r="D20" s="139" t="n">
        <v>-139841</v>
      </c>
      <c r="E20" s="139" t="n">
        <v>-10483</v>
      </c>
      <c r="F20" s="139" t="n">
        <v>8636</v>
      </c>
      <c r="G20" s="139" t="n">
        <v>36953</v>
      </c>
      <c r="H20" s="139" t="n">
        <f aca="false">H12-H18</f>
        <v>0.0616081007707807</v>
      </c>
      <c r="I20" s="139" t="n">
        <f aca="false">'Current Year'!D69</f>
        <v>3720</v>
      </c>
      <c r="J20" s="139" t="n">
        <f aca="false">'Progress Tracker'!U62</f>
        <v>71254.79</v>
      </c>
      <c r="K20" s="139" t="n">
        <f aca="false">K12-K18</f>
        <v>0.137823578336557</v>
      </c>
      <c r="L20" s="140"/>
      <c r="M20" s="140"/>
      <c r="N20" s="140"/>
      <c r="O20" s="140"/>
    </row>
    <row r="21" customFormat="false" ht="15" hidden="false" customHeight="true" outlineLevel="0" collapsed="false"/>
    <row r="22" customFormat="false" ht="15.75" hidden="false" customHeight="true" outlineLevel="0" collapsed="false">
      <c r="A22" s="86" t="s">
        <v>156</v>
      </c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</row>
    <row r="23" customFormat="false" ht="15.75" hidden="false" customHeight="true" outlineLevel="0" collapsed="false">
      <c r="A23" s="50" t="s">
        <v>157</v>
      </c>
      <c r="B23" s="141" t="n">
        <v>63</v>
      </c>
      <c r="C23" s="141" t="n">
        <v>136</v>
      </c>
      <c r="D23" s="141" t="n">
        <v>178</v>
      </c>
      <c r="E23" s="141" t="n">
        <v>87</v>
      </c>
      <c r="F23" s="142" t="n">
        <v>104</v>
      </c>
      <c r="G23" s="142" t="n">
        <v>272</v>
      </c>
      <c r="H23" s="128" t="n">
        <f aca="false">IFERROR((G22-F22)/F22,0)</f>
        <v>0</v>
      </c>
      <c r="I23" s="143" t="n">
        <v>330</v>
      </c>
      <c r="J23" s="143" t="n">
        <v>0</v>
      </c>
      <c r="K23" s="130" t="n">
        <f aca="false">IFERROR((J22-I22)/I22,0)</f>
        <v>0</v>
      </c>
      <c r="L23" s="132"/>
      <c r="M23" s="132"/>
      <c r="N23" s="132"/>
      <c r="O23" s="132"/>
    </row>
    <row r="24" customFormat="false" ht="15.75" hidden="false" customHeight="true" outlineLevel="0" collapsed="false">
      <c r="A24" s="1" t="s">
        <v>158</v>
      </c>
      <c r="B24" s="144" t="n">
        <v>145</v>
      </c>
      <c r="C24" s="144" t="n">
        <v>106</v>
      </c>
      <c r="D24" s="144" t="n">
        <v>110</v>
      </c>
      <c r="E24" s="144" t="n">
        <v>122</v>
      </c>
      <c r="F24" s="145" t="n">
        <v>134</v>
      </c>
      <c r="G24" s="145" t="n">
        <v>173</v>
      </c>
      <c r="H24" s="146" t="n">
        <f aca="false">(G23-F23)/F23</f>
        <v>1.61538461538462</v>
      </c>
      <c r="I24" s="147" t="n">
        <v>198</v>
      </c>
      <c r="J24" s="147" t="n">
        <v>0</v>
      </c>
      <c r="K24" s="148" t="n">
        <f aca="false">(J23-I23)/I23</f>
        <v>-1</v>
      </c>
      <c r="L24" s="149"/>
      <c r="M24" s="149"/>
      <c r="N24" s="149"/>
      <c r="O24" s="149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</row>
    <row r="25" customFormat="false" ht="15.75" hidden="false" customHeight="true" outlineLevel="0" collapsed="false">
      <c r="A25" s="50" t="s">
        <v>159</v>
      </c>
      <c r="B25" s="127" t="n">
        <v>512</v>
      </c>
      <c r="C25" s="127" t="n">
        <v>783</v>
      </c>
      <c r="D25" s="127" t="n">
        <v>1094</v>
      </c>
      <c r="E25" s="127" t="n">
        <v>885</v>
      </c>
      <c r="F25" s="128" t="n">
        <v>1000</v>
      </c>
      <c r="G25" s="128" t="n">
        <v>1364</v>
      </c>
      <c r="H25" s="128" t="n">
        <f aca="false">(G24-F24)/F24</f>
        <v>0.291044776119403</v>
      </c>
      <c r="I25" s="130" t="n">
        <v>1279</v>
      </c>
      <c r="J25" s="130" t="n">
        <v>0</v>
      </c>
      <c r="K25" s="130" t="n">
        <f aca="false">(J24-I24)/I24</f>
        <v>-1</v>
      </c>
      <c r="L25" s="132"/>
      <c r="M25" s="132"/>
      <c r="N25" s="132"/>
      <c r="O25" s="132"/>
    </row>
    <row r="26" customFormat="false" ht="15.75" hidden="false" customHeight="true" outlineLevel="0" collapsed="false">
      <c r="A26" s="50" t="s">
        <v>160</v>
      </c>
      <c r="B26" s="151" t="n">
        <f aca="false">IFERROR(B23/B22,0)</f>
        <v>0</v>
      </c>
      <c r="C26" s="151" t="n">
        <f aca="false">IFERROR(C23/C22,0)</f>
        <v>0</v>
      </c>
      <c r="D26" s="151" t="n">
        <f aca="false">IFERROR(D23/D22,0)</f>
        <v>0</v>
      </c>
      <c r="E26" s="151" t="n">
        <f aca="false">IFERROR(E23/E22,0)</f>
        <v>0</v>
      </c>
      <c r="F26" s="129" t="n">
        <f aca="false">IFERROR(F23/F22,0)</f>
        <v>0</v>
      </c>
      <c r="G26" s="129" t="n">
        <f aca="false">IFERROR(G23/G22,0)</f>
        <v>0</v>
      </c>
      <c r="H26" s="128" t="n">
        <f aca="false">(G25-F25)/F25</f>
        <v>0.364</v>
      </c>
      <c r="I26" s="131" t="n">
        <f aca="false">IFERROR(I23/I22,0)</f>
        <v>0</v>
      </c>
      <c r="J26" s="131" t="n">
        <f aca="false">IFERROR(J23/J22,0)</f>
        <v>0</v>
      </c>
      <c r="K26" s="130" t="n">
        <f aca="false">IFERROR((J25-I25)/I25,0)</f>
        <v>-1</v>
      </c>
      <c r="L26" s="132"/>
      <c r="M26" s="132"/>
      <c r="N26" s="132"/>
      <c r="O26" s="132"/>
    </row>
    <row r="27" customFormat="false" ht="15.75" hidden="false" customHeight="true" outlineLevel="0" collapsed="false">
      <c r="A27" s="50" t="s">
        <v>161</v>
      </c>
      <c r="B27" s="151" t="n">
        <v>0</v>
      </c>
      <c r="C27" s="151" t="n">
        <f aca="false">IFERROR((C22-B22)/B22,0)</f>
        <v>0</v>
      </c>
      <c r="D27" s="151" t="n">
        <f aca="false">IFERROR((D22-C22)/C22,0)</f>
        <v>0</v>
      </c>
      <c r="E27" s="151" t="n">
        <f aca="false">IFERROR((E22-D22)/D22,0)</f>
        <v>0</v>
      </c>
      <c r="F27" s="129" t="n">
        <f aca="false">IFERROR((F22-E22)/E22,0)</f>
        <v>0</v>
      </c>
      <c r="G27" s="129" t="n">
        <f aca="false">IFERROR((G22-E22)/E22,0)</f>
        <v>0</v>
      </c>
      <c r="H27" s="128" t="n">
        <f aca="false">IFERROR((G26-F26)/F26,0)</f>
        <v>0</v>
      </c>
      <c r="I27" s="131" t="n">
        <f aca="false">IFERROR((I22-G22)/G22,0)</f>
        <v>0</v>
      </c>
      <c r="J27" s="131" t="n">
        <f aca="false">IFERROR((J22-G22)/G22,0)</f>
        <v>0</v>
      </c>
      <c r="K27" s="130" t="n">
        <f aca="false">IFERROR((J26-I26)/I26,0)</f>
        <v>0</v>
      </c>
      <c r="L27" s="132"/>
      <c r="M27" s="132"/>
      <c r="N27" s="132"/>
      <c r="O27" s="132"/>
    </row>
    <row r="28" customFormat="false" ht="15.75" hidden="false" customHeight="true" outlineLevel="0" collapsed="false"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</row>
    <row r="29" customFormat="false" ht="15.75" hidden="false" customHeight="true" outlineLevel="0" collapsed="false">
      <c r="A29" s="86" t="s">
        <v>162</v>
      </c>
    </row>
    <row r="30" customFormat="false" ht="15.75" hidden="false" customHeight="true" outlineLevel="0" collapsed="false">
      <c r="A30" s="1" t="s">
        <v>163</v>
      </c>
      <c r="B30" s="152" t="n">
        <v>13</v>
      </c>
      <c r="C30" s="152" t="n">
        <v>28</v>
      </c>
      <c r="D30" s="152" t="n">
        <v>39</v>
      </c>
      <c r="E30" s="152" t="n">
        <v>28</v>
      </c>
      <c r="F30" s="153"/>
      <c r="G30" s="153" t="n">
        <v>98</v>
      </c>
      <c r="H30" s="153"/>
      <c r="I30" s="154"/>
      <c r="J30" s="154"/>
      <c r="K30" s="154"/>
    </row>
    <row r="31" customFormat="false" ht="15.75" hidden="false" customHeight="true" outlineLevel="0" collapsed="false">
      <c r="A31" s="1" t="s">
        <v>164</v>
      </c>
      <c r="B31" s="152"/>
      <c r="C31" s="152"/>
      <c r="D31" s="152" t="n">
        <v>111</v>
      </c>
      <c r="E31" s="152" t="n">
        <v>81</v>
      </c>
      <c r="F31" s="153"/>
      <c r="G31" s="153" t="n">
        <v>190</v>
      </c>
      <c r="H31" s="153"/>
      <c r="I31" s="154"/>
      <c r="J31" s="154"/>
      <c r="K31" s="154"/>
    </row>
    <row r="32" customFormat="false" ht="15.75" hidden="false" customHeight="true" outlineLevel="0" collapsed="false">
      <c r="A32" s="1" t="s">
        <v>165</v>
      </c>
      <c r="B32" s="152" t="n">
        <v>304</v>
      </c>
      <c r="C32" s="152" t="n">
        <v>522</v>
      </c>
      <c r="D32" s="152" t="n">
        <v>376</v>
      </c>
      <c r="E32" s="152" t="n">
        <v>433</v>
      </c>
      <c r="F32" s="153"/>
      <c r="G32" s="153" t="n">
        <v>923</v>
      </c>
      <c r="H32" s="153"/>
      <c r="I32" s="154"/>
      <c r="J32" s="154"/>
      <c r="K32" s="154"/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7" min="2" style="1" width="14"/>
  </cols>
  <sheetData>
    <row r="1" customFormat="false" ht="19.5" hidden="false" customHeight="true" outlineLevel="0" collapsed="false">
      <c r="A1" s="126" t="s">
        <v>166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</row>
    <row r="2" customFormat="false" ht="15" hidden="false" customHeight="true" outlineLevel="0" collapsed="false">
      <c r="A2" s="155" t="s">
        <v>167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</row>
    <row r="4" customFormat="false" ht="15" hidden="false" customHeight="true" outlineLevel="0" collapsed="false">
      <c r="A4" s="156" t="s">
        <v>168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</row>
    <row r="5" customFormat="false" ht="15" hidden="false" customHeight="true" outlineLevel="0" collapsed="false">
      <c r="A5" s="42" t="s">
        <v>169</v>
      </c>
      <c r="B5" s="42" t="s">
        <v>170</v>
      </c>
      <c r="C5" s="42" t="s">
        <v>171</v>
      </c>
      <c r="D5" s="42" t="s">
        <v>172</v>
      </c>
      <c r="E5" s="42" t="s">
        <v>173</v>
      </c>
      <c r="F5" s="42" t="s">
        <v>174</v>
      </c>
      <c r="G5" s="42" t="s">
        <v>175</v>
      </c>
    </row>
    <row r="6" customFormat="false" ht="15" hidden="false" customHeight="true" outlineLevel="0" collapsed="false">
      <c r="A6" s="40" t="s">
        <v>176</v>
      </c>
    </row>
    <row r="7" customFormat="false" ht="15" hidden="false" customHeight="true" outlineLevel="0" collapsed="false">
      <c r="A7" s="1" t="s">
        <v>177</v>
      </c>
      <c r="B7" s="157" t="s">
        <v>178</v>
      </c>
      <c r="C7" s="158" t="n">
        <v>0.1</v>
      </c>
      <c r="D7" s="158" t="n">
        <v>0.15</v>
      </c>
      <c r="E7" s="158" t="n">
        <v>0.15</v>
      </c>
      <c r="F7" s="158" t="n">
        <v>0.15</v>
      </c>
      <c r="G7" s="91" t="s">
        <v>179</v>
      </c>
    </row>
    <row r="8" customFormat="false" ht="15" hidden="false" customHeight="true" outlineLevel="0" collapsed="false">
      <c r="A8" s="1" t="s">
        <v>180</v>
      </c>
      <c r="B8" s="159" t="n">
        <v>0</v>
      </c>
      <c r="C8" s="160" t="n">
        <v>20000</v>
      </c>
      <c r="D8" s="160" t="n">
        <v>20000</v>
      </c>
      <c r="E8" s="160" t="n">
        <v>20000</v>
      </c>
      <c r="F8" s="160" t="n">
        <v>20000</v>
      </c>
      <c r="G8" s="91" t="s">
        <v>181</v>
      </c>
    </row>
    <row r="9" customFormat="false" ht="15" hidden="false" customHeight="true" outlineLevel="0" collapsed="false">
      <c r="A9" s="1" t="s">
        <v>182</v>
      </c>
      <c r="B9" s="159" t="n">
        <v>0</v>
      </c>
      <c r="C9" s="160" t="n">
        <v>25000</v>
      </c>
      <c r="D9" s="160" t="n">
        <v>25000</v>
      </c>
      <c r="E9" s="160" t="n">
        <v>25000</v>
      </c>
      <c r="F9" s="160" t="n">
        <v>25000</v>
      </c>
      <c r="G9" s="91" t="s">
        <v>181</v>
      </c>
    </row>
    <row r="10" customFormat="false" ht="15" hidden="false" customHeight="true" outlineLevel="0" collapsed="false">
      <c r="A10" s="1" t="s">
        <v>183</v>
      </c>
      <c r="B10" s="157" t="n">
        <v>0</v>
      </c>
      <c r="C10" s="158" t="n">
        <v>100000</v>
      </c>
      <c r="D10" s="158" t="n">
        <v>50000</v>
      </c>
      <c r="E10" s="158" t="n">
        <v>50000</v>
      </c>
      <c r="F10" s="158" t="n">
        <v>50000</v>
      </c>
      <c r="G10" s="91" t="s">
        <v>184</v>
      </c>
    </row>
    <row r="11" customFormat="false" ht="15" hidden="false" customHeight="true" outlineLevel="0" collapsed="false">
      <c r="A11" s="1" t="s">
        <v>185</v>
      </c>
      <c r="B11" s="157" t="s">
        <v>178</v>
      </c>
      <c r="C11" s="158" t="n">
        <v>0.5</v>
      </c>
      <c r="D11" s="158" t="n">
        <v>0.25</v>
      </c>
      <c r="E11" s="158" t="n">
        <v>0.2</v>
      </c>
      <c r="F11" s="158" t="n">
        <v>0.15</v>
      </c>
      <c r="G11" s="91" t="s">
        <v>179</v>
      </c>
    </row>
    <row r="12" customFormat="false" ht="15" hidden="false" customHeight="true" outlineLevel="0" collapsed="false">
      <c r="A12" s="1" t="s">
        <v>186</v>
      </c>
      <c r="B12" s="157" t="s">
        <v>178</v>
      </c>
      <c r="C12" s="158" t="n">
        <v>0.1</v>
      </c>
      <c r="D12" s="158" t="n">
        <v>0.1</v>
      </c>
      <c r="E12" s="158" t="n">
        <v>0.1</v>
      </c>
      <c r="F12" s="158" t="n">
        <v>0.1</v>
      </c>
      <c r="G12" s="91" t="s">
        <v>179</v>
      </c>
    </row>
    <row r="13" customFormat="false" ht="15" hidden="false" customHeight="true" outlineLevel="0" collapsed="false">
      <c r="A13" s="1" t="s">
        <v>187</v>
      </c>
      <c r="B13" s="1" t="s">
        <v>178</v>
      </c>
      <c r="C13" s="1" t="n">
        <v>0.2</v>
      </c>
      <c r="D13" s="1" t="n">
        <v>0.15</v>
      </c>
      <c r="E13" s="1" t="n">
        <v>0.15</v>
      </c>
      <c r="F13" s="1" t="n">
        <v>0.1</v>
      </c>
      <c r="G13" s="1" t="s">
        <v>179</v>
      </c>
    </row>
    <row r="14" customFormat="false" ht="15" hidden="false" customHeight="true" outlineLevel="0" collapsed="false">
      <c r="A14" s="86"/>
    </row>
    <row r="15" customFormat="false" ht="15" hidden="false" customHeight="true" outlineLevel="0" collapsed="false">
      <c r="A15" s="40" t="s">
        <v>188</v>
      </c>
      <c r="B15" s="157"/>
      <c r="C15" s="158"/>
      <c r="D15" s="158"/>
      <c r="E15" s="158"/>
      <c r="F15" s="158"/>
      <c r="G15" s="91"/>
    </row>
    <row r="16" customFormat="false" ht="15" hidden="false" customHeight="true" outlineLevel="0" collapsed="false">
      <c r="A16" s="1" t="s">
        <v>189</v>
      </c>
      <c r="B16" s="157" t="s">
        <v>178</v>
      </c>
      <c r="C16" s="158" t="n">
        <v>0.03</v>
      </c>
      <c r="D16" s="158" t="n">
        <v>0.03</v>
      </c>
      <c r="E16" s="158" t="n">
        <v>0.03</v>
      </c>
      <c r="F16" s="158" t="n">
        <v>0.03</v>
      </c>
      <c r="G16" s="91" t="s">
        <v>190</v>
      </c>
    </row>
    <row r="17" customFormat="false" ht="15" hidden="false" customHeight="true" outlineLevel="0" collapsed="false">
      <c r="A17" s="1" t="s">
        <v>191</v>
      </c>
      <c r="B17" s="157" t="s">
        <v>178</v>
      </c>
      <c r="C17" s="158" t="n">
        <v>0.1</v>
      </c>
      <c r="D17" s="158" t="n">
        <v>0.1</v>
      </c>
      <c r="E17" s="158" t="n">
        <v>0.1</v>
      </c>
      <c r="F17" s="158" t="n">
        <v>0.1</v>
      </c>
      <c r="G17" s="91" t="s">
        <v>192</v>
      </c>
    </row>
    <row r="18" customFormat="false" ht="15" hidden="false" customHeight="true" outlineLevel="0" collapsed="false">
      <c r="A18" s="1" t="s">
        <v>193</v>
      </c>
      <c r="B18" s="159" t="s">
        <v>178</v>
      </c>
      <c r="C18" s="160" t="n">
        <v>0.12</v>
      </c>
      <c r="D18" s="160" t="n">
        <v>0.12</v>
      </c>
      <c r="E18" s="160" t="n">
        <v>0.12</v>
      </c>
      <c r="F18" s="160" t="n">
        <v>0.12</v>
      </c>
      <c r="G18" s="91" t="s">
        <v>194</v>
      </c>
    </row>
    <row r="19" customFormat="false" ht="15" hidden="false" customHeight="true" outlineLevel="0" collapsed="false">
      <c r="A19" s="1" t="s">
        <v>195</v>
      </c>
      <c r="B19" s="1" t="n">
        <v>50000</v>
      </c>
      <c r="C19" s="1" t="n">
        <v>75000</v>
      </c>
      <c r="D19" s="1" t="n">
        <v>100000</v>
      </c>
      <c r="E19" s="1" t="n">
        <v>150000</v>
      </c>
      <c r="F19" s="1" t="n">
        <v>200000</v>
      </c>
      <c r="G19" s="1" t="s">
        <v>196</v>
      </c>
    </row>
    <row r="20" customFormat="false" ht="15" hidden="false" customHeight="true" outlineLevel="0" collapsed="false">
      <c r="A20" s="86"/>
    </row>
    <row r="21" customFormat="false" ht="15" hidden="false" customHeight="true" outlineLevel="0" collapsed="false">
      <c r="A21" s="40" t="s">
        <v>197</v>
      </c>
      <c r="B21" s="157"/>
      <c r="C21" s="158"/>
      <c r="D21" s="158"/>
      <c r="E21" s="158"/>
      <c r="F21" s="158"/>
      <c r="G21" s="91"/>
    </row>
    <row r="22" customFormat="false" ht="15" hidden="false" customHeight="true" outlineLevel="0" collapsed="false">
      <c r="A22" s="1" t="s">
        <v>198</v>
      </c>
      <c r="B22" s="161" t="s">
        <v>178</v>
      </c>
      <c r="C22" s="158" t="n">
        <v>0.22</v>
      </c>
      <c r="D22" s="158" t="n">
        <v>0.23</v>
      </c>
      <c r="E22" s="158" t="n">
        <v>0.24</v>
      </c>
      <c r="F22" s="158" t="n">
        <v>0.25</v>
      </c>
      <c r="G22" s="91" t="s">
        <v>199</v>
      </c>
    </row>
    <row r="23" customFormat="false" ht="15" hidden="false" customHeight="true" outlineLevel="0" collapsed="false">
      <c r="A23" s="1" t="s">
        <v>200</v>
      </c>
      <c r="B23" s="157" t="n">
        <v>0.6</v>
      </c>
      <c r="C23" s="158" t="n">
        <v>0.6</v>
      </c>
      <c r="D23" s="158" t="n">
        <v>0.6</v>
      </c>
      <c r="E23" s="158" t="n">
        <v>0.6</v>
      </c>
      <c r="F23" s="158" t="n">
        <v>0.6</v>
      </c>
      <c r="G23" s="91" t="s">
        <v>201</v>
      </c>
    </row>
    <row r="24" customFormat="false" ht="15" hidden="false" customHeight="true" outlineLevel="0" collapsed="false">
      <c r="A24" s="1" t="s">
        <v>202</v>
      </c>
      <c r="B24" s="1" t="s">
        <v>178</v>
      </c>
      <c r="C24" s="1" t="n">
        <v>0.05</v>
      </c>
      <c r="D24" s="1" t="n">
        <v>0.05</v>
      </c>
      <c r="E24" s="1" t="n">
        <v>0.03</v>
      </c>
      <c r="F24" s="1" t="n">
        <v>0.03</v>
      </c>
      <c r="G24" s="1" t="s">
        <v>179</v>
      </c>
    </row>
    <row r="25" customFormat="false" ht="15" hidden="false" customHeight="true" outlineLevel="0" collapsed="false">
      <c r="A25" s="162"/>
      <c r="B25" s="106"/>
      <c r="C25" s="106"/>
      <c r="D25" s="106"/>
      <c r="E25" s="106"/>
      <c r="F25" s="106"/>
      <c r="G25" s="106"/>
      <c r="H25" s="106"/>
      <c r="I25" s="106"/>
      <c r="J25" s="106"/>
      <c r="K25" s="106"/>
    </row>
    <row r="26" customFormat="false" ht="15" hidden="false" customHeight="true" outlineLevel="0" collapsed="false">
      <c r="A26" s="40" t="s">
        <v>203</v>
      </c>
      <c r="B26" s="157"/>
      <c r="C26" s="160"/>
      <c r="D26" s="160"/>
      <c r="E26" s="160"/>
      <c r="F26" s="160"/>
    </row>
    <row r="27" customFormat="false" ht="15" hidden="false" customHeight="true" outlineLevel="0" collapsed="false">
      <c r="A27" s="1" t="s">
        <v>204</v>
      </c>
      <c r="B27" s="157" t="n">
        <v>310000</v>
      </c>
      <c r="C27" s="163" t="n">
        <v>385000</v>
      </c>
      <c r="D27" s="163" t="n">
        <v>485000</v>
      </c>
      <c r="E27" s="163" t="n">
        <v>635000</v>
      </c>
      <c r="F27" s="163" t="n">
        <v>835000</v>
      </c>
    </row>
    <row r="28" customFormat="false" ht="15" hidden="false" customHeight="true" outlineLevel="0" collapsed="false">
      <c r="A28" s="1" t="s">
        <v>205</v>
      </c>
      <c r="B28" s="157" t="n">
        <v>272</v>
      </c>
      <c r="C28" s="163" t="n">
        <v>332</v>
      </c>
      <c r="D28" s="163" t="n">
        <v>408</v>
      </c>
      <c r="E28" s="163" t="n">
        <v>506</v>
      </c>
      <c r="F28" s="163" t="n">
        <v>633</v>
      </c>
    </row>
    <row r="29" customFormat="false" ht="15" hidden="false" customHeight="true" outlineLevel="0" collapsed="false">
      <c r="A29" s="1" t="s">
        <v>206</v>
      </c>
      <c r="B29" s="157" t="n">
        <v>21</v>
      </c>
      <c r="C29" s="163" t="n">
        <v>28</v>
      </c>
      <c r="D29" s="163" t="n">
        <v>35</v>
      </c>
      <c r="E29" s="163" t="n">
        <v>42</v>
      </c>
      <c r="F29" s="163" t="n">
        <v>50</v>
      </c>
    </row>
    <row r="30" customFormat="false" ht="15" hidden="false" customHeight="true" outlineLevel="0" collapsed="false">
      <c r="A30" s="1" t="s">
        <v>207</v>
      </c>
      <c r="B30" s="1" t="n">
        <v>1800</v>
      </c>
      <c r="C30" s="1" t="n">
        <v>4000</v>
      </c>
      <c r="D30" s="1" t="n">
        <v>7000</v>
      </c>
      <c r="E30" s="1" t="n">
        <v>12000</v>
      </c>
      <c r="F30" s="1" t="n">
        <v>20000</v>
      </c>
    </row>
    <row r="32" customFormat="false" ht="15" hidden="false" customHeight="true" outlineLevel="0" collapsed="false">
      <c r="A32" s="162"/>
      <c r="B32" s="106"/>
      <c r="C32" s="106"/>
      <c r="D32" s="106"/>
      <c r="E32" s="106"/>
      <c r="F32" s="106"/>
      <c r="G32" s="106"/>
      <c r="H32" s="106"/>
      <c r="I32" s="106"/>
      <c r="J32" s="106"/>
      <c r="K32" s="106"/>
    </row>
    <row r="33" customFormat="false" ht="15" hidden="false" customHeight="true" outlineLevel="0" collapsed="false">
      <c r="A33" s="164" t="s">
        <v>208</v>
      </c>
      <c r="B33" s="42"/>
      <c r="C33" s="42"/>
      <c r="D33" s="42"/>
      <c r="E33" s="42"/>
      <c r="F33" s="42"/>
    </row>
    <row r="34" customFormat="false" ht="15" hidden="false" customHeight="true" outlineLevel="0" collapsed="false">
      <c r="A34" s="1" t="s">
        <v>114</v>
      </c>
      <c r="B34" s="159" t="s">
        <v>108</v>
      </c>
      <c r="C34" s="159" t="s">
        <v>148</v>
      </c>
      <c r="D34" s="159" t="s">
        <v>149</v>
      </c>
      <c r="E34" s="159" t="s">
        <v>150</v>
      </c>
      <c r="F34" s="159" t="s">
        <v>151</v>
      </c>
    </row>
    <row r="35" customFormat="false" ht="15" hidden="false" customHeight="true" outlineLevel="0" collapsed="false">
      <c r="A35" s="40" t="s">
        <v>11</v>
      </c>
      <c r="B35" s="159" t="n">
        <f aca="false">SUM(B36:B40)</f>
        <v>385000</v>
      </c>
      <c r="C35" s="165" t="n">
        <f aca="false">SUM(C36:C40)</f>
        <v>355500</v>
      </c>
      <c r="D35" s="165" t="n">
        <f aca="false">SUM(D36:D40)</f>
        <v>352075</v>
      </c>
      <c r="E35" s="165" t="n">
        <f aca="false">SUM(E36:E40)</f>
        <v>400011.25</v>
      </c>
      <c r="F35" s="165" t="n">
        <f aca="false">SUM(F36:F40)</f>
        <v>445762.9375</v>
      </c>
    </row>
    <row r="36" customFormat="false" ht="15" hidden="false" customHeight="true" outlineLevel="0" collapsed="false">
      <c r="A36" s="91" t="s">
        <v>209</v>
      </c>
      <c r="B36" s="159" t="n">
        <f aca="false">'Current Year'!E8</f>
        <v>20000</v>
      </c>
      <c r="C36" s="165" t="n">
        <f aca="false">C$8</f>
        <v>20000</v>
      </c>
      <c r="D36" s="165" t="n">
        <f aca="false">D$8</f>
        <v>20000</v>
      </c>
      <c r="E36" s="165" t="n">
        <f aca="false">E$8</f>
        <v>20000</v>
      </c>
      <c r="F36" s="165" t="n">
        <f aca="false">F$8</f>
        <v>20000</v>
      </c>
    </row>
    <row r="37" customFormat="false" ht="15" hidden="false" customHeight="true" outlineLevel="0" collapsed="false">
      <c r="A37" s="91" t="s">
        <v>210</v>
      </c>
      <c r="B37" s="159" t="n">
        <f aca="false">'Current Year'!E9</f>
        <v>60000</v>
      </c>
      <c r="C37" s="165" t="n">
        <f aca="false">C$9</f>
        <v>25000</v>
      </c>
      <c r="D37" s="165" t="n">
        <f aca="false">D$9</f>
        <v>25000</v>
      </c>
      <c r="E37" s="165" t="n">
        <f aca="false">E$9</f>
        <v>25000</v>
      </c>
      <c r="F37" s="165" t="n">
        <f aca="false">F$9</f>
        <v>25000</v>
      </c>
    </row>
    <row r="38" customFormat="false" ht="15" hidden="false" customHeight="true" outlineLevel="0" collapsed="false">
      <c r="A38" s="91" t="s">
        <v>211</v>
      </c>
      <c r="B38" s="159" t="n">
        <f aca="false">'Current Year'!E10</f>
        <v>150000</v>
      </c>
      <c r="C38" s="165" t="n">
        <f aca="false">C$10</f>
        <v>100000</v>
      </c>
      <c r="D38" s="165" t="n">
        <f aca="false">D$10</f>
        <v>50000</v>
      </c>
      <c r="E38" s="165" t="n">
        <f aca="false">E$10</f>
        <v>50000</v>
      </c>
      <c r="F38" s="165" t="n">
        <f aca="false">F$10</f>
        <v>50000</v>
      </c>
    </row>
    <row r="39" customFormat="false" ht="15" hidden="false" customHeight="true" outlineLevel="0" collapsed="false">
      <c r="A39" s="1" t="s">
        <v>16</v>
      </c>
      <c r="B39" s="159" t="n">
        <f aca="false">'Current Year'!E11</f>
        <v>100000</v>
      </c>
      <c r="C39" s="159" t="n">
        <f aca="false">B39*(1+C$11)</f>
        <v>150000</v>
      </c>
      <c r="D39" s="159" t="n">
        <f aca="false">C39*(1+D$11)</f>
        <v>187500</v>
      </c>
      <c r="E39" s="159" t="n">
        <f aca="false">D39*(1+E$11)</f>
        <v>225000</v>
      </c>
      <c r="F39" s="159" t="n">
        <f aca="false">E39*(1+F$11)</f>
        <v>258750</v>
      </c>
    </row>
    <row r="40" customFormat="false" ht="15" hidden="false" customHeight="true" outlineLevel="0" collapsed="false">
      <c r="A40" s="1" t="s">
        <v>212</v>
      </c>
      <c r="B40" s="159" t="n">
        <f aca="false">'Current Year'!E12</f>
        <v>55000</v>
      </c>
      <c r="C40" s="159" t="n">
        <f aca="false">B40*(1+C$7)</f>
        <v>60500</v>
      </c>
      <c r="D40" s="159" t="n">
        <f aca="false">C40*(1+D$7)</f>
        <v>69575</v>
      </c>
      <c r="E40" s="159" t="n">
        <f aca="false">D40*(1+E$7)</f>
        <v>80011.25</v>
      </c>
      <c r="F40" s="159" t="n">
        <f aca="false">E40*(1+F$7)</f>
        <v>92012.9375</v>
      </c>
    </row>
    <row r="41" customFormat="false" ht="15" hidden="false" customHeight="true" outlineLevel="0" collapsed="false">
      <c r="A41" s="1" t="s">
        <v>19</v>
      </c>
      <c r="B41" s="159" t="n">
        <f aca="false">'Current Year'!D13</f>
        <v>2000</v>
      </c>
      <c r="C41" s="159" t="n">
        <f aca="false">B41</f>
        <v>2000</v>
      </c>
      <c r="D41" s="159" t="n">
        <f aca="false">C41</f>
        <v>2000</v>
      </c>
      <c r="E41" s="159" t="n">
        <f aca="false">D41</f>
        <v>2000</v>
      </c>
      <c r="F41" s="159" t="n">
        <f aca="false">E41</f>
        <v>2000</v>
      </c>
    </row>
    <row r="42" customFormat="false" ht="15" hidden="false" customHeight="true" outlineLevel="0" collapsed="false">
      <c r="A42" s="1" t="s">
        <v>21</v>
      </c>
      <c r="B42" s="159" t="n">
        <f aca="false">'Current Year'!D14</f>
        <v>20000</v>
      </c>
      <c r="C42" s="159" t="n">
        <f aca="false">B42*1.05</f>
        <v>21000</v>
      </c>
      <c r="D42" s="159" t="n">
        <f aca="false">C42*1.05</f>
        <v>22050</v>
      </c>
      <c r="E42" s="159" t="n">
        <f aca="false">D42*1.05</f>
        <v>23152.5</v>
      </c>
      <c r="F42" s="159" t="n">
        <f aca="false">E42*1.05</f>
        <v>24310.125</v>
      </c>
    </row>
    <row r="43" customFormat="false" ht="15" hidden="false" customHeight="true" outlineLevel="0" collapsed="false">
      <c r="A43" s="1" t="s">
        <v>23</v>
      </c>
      <c r="B43" s="159" t="n">
        <f aca="false">'Current Year'!D15</f>
        <v>0</v>
      </c>
      <c r="C43" s="159" t="n">
        <f aca="false">B43</f>
        <v>0</v>
      </c>
      <c r="D43" s="159" t="n">
        <f aca="false">C43</f>
        <v>0</v>
      </c>
      <c r="E43" s="159" t="n">
        <f aca="false">D43</f>
        <v>0</v>
      </c>
      <c r="F43" s="159" t="n">
        <f aca="false">E43</f>
        <v>0</v>
      </c>
    </row>
    <row r="44" customFormat="false" ht="15" hidden="false" customHeight="true" outlineLevel="0" collapsed="false">
      <c r="A44" s="91" t="s">
        <v>25</v>
      </c>
      <c r="B44" s="159" t="n">
        <f aca="false">'Current Year'!D16</f>
        <v>100000</v>
      </c>
      <c r="C44" s="165" t="n">
        <f aca="false">B44*(1+C$12)</f>
        <v>110000</v>
      </c>
      <c r="D44" s="165" t="n">
        <f aca="false">C44*(1+D$12)</f>
        <v>121000</v>
      </c>
      <c r="E44" s="165" t="n">
        <f aca="false">D44*(1+E$12)</f>
        <v>133100</v>
      </c>
      <c r="F44" s="165" t="n">
        <f aca="false">E44*(1+F$12)</f>
        <v>146410</v>
      </c>
    </row>
    <row r="45" customFormat="false" ht="15" hidden="false" customHeight="true" outlineLevel="0" collapsed="false">
      <c r="A45" s="91" t="s">
        <v>27</v>
      </c>
      <c r="B45" s="159" t="n">
        <f aca="false">SUM(B46:B47)</f>
        <v>10000</v>
      </c>
      <c r="C45" s="165" t="n">
        <f aca="false">SUM(C46:C47)</f>
        <v>12000</v>
      </c>
      <c r="D45" s="165" t="n">
        <f aca="false">SUM(D46:D47)</f>
        <v>13800</v>
      </c>
      <c r="E45" s="165" t="n">
        <f aca="false">SUM(E46:E47)</f>
        <v>15870</v>
      </c>
      <c r="F45" s="165" t="n">
        <f aca="false">SUM(F46:F47)</f>
        <v>17457</v>
      </c>
    </row>
    <row r="46" customFormat="false" ht="15" hidden="false" customHeight="true" outlineLevel="0" collapsed="false">
      <c r="A46" s="1" t="s">
        <v>29</v>
      </c>
      <c r="B46" s="159" t="n">
        <f aca="false">'Current Year'!E18</f>
        <v>5000</v>
      </c>
      <c r="C46" s="159" t="n">
        <f aca="false">B46*(1+C$13)</f>
        <v>6000</v>
      </c>
      <c r="D46" s="159" t="n">
        <f aca="false">C46*(1+D$13)</f>
        <v>6900</v>
      </c>
      <c r="E46" s="159" t="n">
        <f aca="false">D46*(1+E$13)</f>
        <v>7935</v>
      </c>
      <c r="F46" s="159" t="n">
        <f aca="false">E46*(1+F$13)</f>
        <v>8728.5</v>
      </c>
    </row>
    <row r="47" customFormat="false" ht="15" hidden="false" customHeight="true" outlineLevel="0" collapsed="false">
      <c r="A47" s="166" t="s">
        <v>111</v>
      </c>
      <c r="B47" s="167" t="n">
        <f aca="false">'Current Year'!E19</f>
        <v>5000</v>
      </c>
      <c r="C47" s="167" t="n">
        <f aca="false">B47*(1+C$13)</f>
        <v>6000</v>
      </c>
      <c r="D47" s="167" t="n">
        <f aca="false">C47*(1+D$13)</f>
        <v>6900</v>
      </c>
      <c r="E47" s="167" t="n">
        <f aca="false">D47*(1+E$13)</f>
        <v>7935</v>
      </c>
      <c r="F47" s="167" t="n">
        <f aca="false">E47*(1+F$13)</f>
        <v>8728.5</v>
      </c>
    </row>
    <row r="48" customFormat="false" ht="15" hidden="false" customHeight="true" outlineLevel="0" collapsed="false">
      <c r="A48" s="1" t="s">
        <v>112</v>
      </c>
      <c r="B48" s="1" t="n">
        <f aca="false">'Current Year'!D20</f>
        <v>0</v>
      </c>
      <c r="C48" s="1" t="n">
        <f aca="false">B48</f>
        <v>0</v>
      </c>
      <c r="D48" s="1" t="n">
        <f aca="false">C48</f>
        <v>0</v>
      </c>
      <c r="E48" s="1" t="n">
        <f aca="false">D48</f>
        <v>0</v>
      </c>
      <c r="F48" s="1" t="n">
        <f aca="false">E48</f>
        <v>0</v>
      </c>
    </row>
    <row r="49" customFormat="false" ht="15" hidden="false" customHeight="true" outlineLevel="0" collapsed="false">
      <c r="A49" s="156" t="s">
        <v>34</v>
      </c>
      <c r="B49" s="106" t="n">
        <f aca="false">B35+B41+B42+B43+B44+B45+B48</f>
        <v>517000</v>
      </c>
      <c r="C49" s="106" t="n">
        <f aca="false">C35+C41+C42+C43+C44+C45+C48</f>
        <v>500500</v>
      </c>
      <c r="D49" s="106" t="n">
        <f aca="false">D35+D41+D42+D43+D44+D45+D48</f>
        <v>510925</v>
      </c>
      <c r="E49" s="106" t="n">
        <f aca="false">E35+E41+E42+E43+E44+E45+E48</f>
        <v>574133.75</v>
      </c>
      <c r="F49" s="106" t="n">
        <f aca="false">F35+F41+F42+F43+F44+F45+F48</f>
        <v>635940.0625</v>
      </c>
      <c r="G49" s="106"/>
      <c r="H49" s="106"/>
      <c r="I49" s="106"/>
      <c r="J49" s="106"/>
      <c r="K49" s="106"/>
    </row>
    <row r="50" customFormat="false" ht="15" hidden="false" customHeight="true" outlineLevel="0" collapsed="false">
      <c r="A50" s="42"/>
      <c r="B50" s="42"/>
      <c r="C50" s="42"/>
      <c r="D50" s="42"/>
      <c r="E50" s="42"/>
      <c r="F50" s="42"/>
    </row>
    <row r="51" customFormat="false" ht="15" hidden="false" customHeight="true" outlineLevel="0" collapsed="false">
      <c r="A51" s="40" t="s">
        <v>213</v>
      </c>
      <c r="B51" s="159"/>
      <c r="C51" s="159"/>
      <c r="D51" s="159"/>
      <c r="E51" s="159"/>
      <c r="F51" s="159"/>
    </row>
    <row r="52" customFormat="false" ht="15" hidden="false" customHeight="true" outlineLevel="0" collapsed="false">
      <c r="A52" s="1" t="s">
        <v>114</v>
      </c>
      <c r="B52" s="159" t="s">
        <v>108</v>
      </c>
      <c r="C52" s="159" t="s">
        <v>148</v>
      </c>
      <c r="D52" s="159" t="s">
        <v>149</v>
      </c>
      <c r="E52" s="159" t="s">
        <v>150</v>
      </c>
      <c r="F52" s="159" t="s">
        <v>151</v>
      </c>
    </row>
    <row r="53" customFormat="false" ht="15" hidden="false" customHeight="true" outlineLevel="0" collapsed="false">
      <c r="A53" s="1" t="s">
        <v>78</v>
      </c>
      <c r="B53" s="159" t="n">
        <f aca="false">'Current Year'!D42</f>
        <v>50000</v>
      </c>
      <c r="C53" s="159" t="n">
        <f aca="false">C$19</f>
        <v>75000</v>
      </c>
      <c r="D53" s="159" t="n">
        <f aca="false">D$19</f>
        <v>100000</v>
      </c>
      <c r="E53" s="159" t="n">
        <f aca="false">E$19</f>
        <v>150000</v>
      </c>
      <c r="F53" s="159" t="n">
        <f aca="false">F$19</f>
        <v>200000</v>
      </c>
    </row>
    <row r="54" customFormat="false" ht="15" hidden="false" customHeight="true" outlineLevel="0" collapsed="false">
      <c r="A54" s="1" t="s">
        <v>39</v>
      </c>
      <c r="B54" s="159" t="n">
        <f aca="false">SUMIF('Current Year'!C24:C52,"Development",'Current Year'!D24:D52)</f>
        <v>35600</v>
      </c>
      <c r="C54" s="159" t="n">
        <f aca="false">B54*(1+C$16)</f>
        <v>36668</v>
      </c>
      <c r="D54" s="159" t="n">
        <f aca="false">C54*(1+D$16)</f>
        <v>37768.04</v>
      </c>
      <c r="E54" s="159" t="n">
        <f aca="false">D54*(1+E$16)</f>
        <v>38901.0812</v>
      </c>
      <c r="F54" s="159" t="n">
        <f aca="false">E54*(1+F$16)</f>
        <v>40068.113636</v>
      </c>
    </row>
    <row r="55" customFormat="false" ht="15" hidden="false" customHeight="true" outlineLevel="0" collapsed="false">
      <c r="A55" s="166" t="s">
        <v>55</v>
      </c>
      <c r="B55" s="167" t="n">
        <f aca="false">SUMIF('Current Year'!C24:C52,"Programs",'Current Year'!D24:D52)</f>
        <v>27850</v>
      </c>
      <c r="C55" s="167" t="n">
        <f aca="false">B55*(1+C$17)</f>
        <v>30635</v>
      </c>
      <c r="D55" s="167" t="n">
        <f aca="false">C55*(1+D$17)</f>
        <v>33698.5</v>
      </c>
      <c r="E55" s="167" t="n">
        <f aca="false">D55*(1+E$17)</f>
        <v>37068.35</v>
      </c>
      <c r="F55" s="167" t="n">
        <f aca="false">E55*(1+F$17)</f>
        <v>40775.185</v>
      </c>
    </row>
    <row r="56" customFormat="false" ht="15" hidden="false" customHeight="true" outlineLevel="0" collapsed="false">
      <c r="A56" s="1" t="s">
        <v>48</v>
      </c>
      <c r="B56" s="1" t="n">
        <f aca="false">SUMIF('Current Year'!C24:C52,"Overhead",'Current Year'!D24:D52)</f>
        <v>21650</v>
      </c>
      <c r="C56" s="1" t="n">
        <f aca="false">C49*C$18</f>
        <v>60060</v>
      </c>
      <c r="D56" s="1" t="n">
        <f aca="false">D49*D$18</f>
        <v>61311</v>
      </c>
      <c r="E56" s="1" t="n">
        <f aca="false">E49*E$18</f>
        <v>68896.05</v>
      </c>
      <c r="F56" s="1" t="n">
        <f aca="false">F49*F$18</f>
        <v>76312.8075</v>
      </c>
    </row>
    <row r="57" customFormat="false" ht="15" hidden="false" customHeight="true" outlineLevel="0" collapsed="false">
      <c r="A57" s="168" t="s">
        <v>96</v>
      </c>
      <c r="B57" s="169" t="n">
        <f aca="false">SUM(B53:B56)</f>
        <v>135100</v>
      </c>
      <c r="C57" s="169" t="n">
        <f aca="false">SUM(C53:C56)</f>
        <v>202363</v>
      </c>
      <c r="D57" s="169" t="n">
        <f aca="false">SUM(D53:D56)</f>
        <v>232777.54</v>
      </c>
      <c r="E57" s="169" t="n">
        <f aca="false">SUM(E53:E56)</f>
        <v>294865.4812</v>
      </c>
      <c r="F57" s="169" t="n">
        <f aca="false">SUM(F53:F56)</f>
        <v>357156.106136</v>
      </c>
    </row>
    <row r="59" customFormat="false" ht="15" hidden="false" customHeight="true" outlineLevel="0" collapsed="false">
      <c r="A59" s="40" t="s">
        <v>100</v>
      </c>
      <c r="B59" s="1" t="n">
        <f aca="false">B49-B57</f>
        <v>381900</v>
      </c>
      <c r="C59" s="1" t="n">
        <f aca="false">C49-C57</f>
        <v>298137</v>
      </c>
      <c r="D59" s="1" t="n">
        <f aca="false">D49-D57</f>
        <v>278147.46</v>
      </c>
      <c r="E59" s="1" t="n">
        <f aca="false">E49-E57</f>
        <v>279268.2688</v>
      </c>
      <c r="F59" s="1" t="n">
        <f aca="false">F49-F57</f>
        <v>278783.956364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  <col collapsed="false" customWidth="true" hidden="false" outlineLevel="0" max="4" min="3" style="1" width="12"/>
    <col collapsed="false" customWidth="true" hidden="false" outlineLevel="0" max="5" min="5" style="1" width="10"/>
    <col collapsed="false" customWidth="true" hidden="false" outlineLevel="0" max="6" min="6" style="1" width="15"/>
    <col collapsed="false" customWidth="true" hidden="false" outlineLevel="0" max="7" min="7" style="1" width="15.63"/>
    <col collapsed="false" customWidth="true" hidden="false" outlineLevel="0" max="9" min="9" style="1" width="13.13"/>
    <col collapsed="false" customWidth="true" hidden="false" outlineLevel="0" max="10" min="10" style="1" width="29.13"/>
    <col collapsed="false" customWidth="true" hidden="false" outlineLevel="0" max="11" min="11" style="1" width="51.63"/>
  </cols>
  <sheetData>
    <row r="1" customFormat="false" ht="15" hidden="false" customHeight="true" outlineLevel="0" collapsed="false">
      <c r="A1" s="170" t="s">
        <v>214</v>
      </c>
      <c r="B1" s="170"/>
      <c r="C1" s="170"/>
      <c r="D1" s="170"/>
      <c r="E1" s="170"/>
      <c r="F1" s="170"/>
      <c r="G1" s="171" t="s">
        <v>215</v>
      </c>
      <c r="I1" s="172" t="s">
        <v>216</v>
      </c>
      <c r="J1" s="173" t="s">
        <v>217</v>
      </c>
      <c r="K1" s="173" t="s">
        <v>175</v>
      </c>
    </row>
    <row r="2" customFormat="false" ht="15" hidden="false" customHeight="true" outlineLevel="0" collapsed="false">
      <c r="A2" s="174" t="s">
        <v>217</v>
      </c>
      <c r="B2" s="175" t="s">
        <v>218</v>
      </c>
      <c r="C2" s="175" t="s">
        <v>219</v>
      </c>
      <c r="D2" s="175" t="s">
        <v>220</v>
      </c>
      <c r="E2" s="175" t="s">
        <v>216</v>
      </c>
      <c r="F2" s="174" t="s">
        <v>175</v>
      </c>
      <c r="G2" s="176"/>
      <c r="I2" s="177" t="n">
        <v>150000</v>
      </c>
      <c r="J2" s="178" t="s">
        <v>221</v>
      </c>
      <c r="K2" s="178"/>
    </row>
    <row r="3" customFormat="false" ht="15" hidden="false" customHeight="true" outlineLevel="0" collapsed="false">
      <c r="A3" s="179" t="s">
        <v>221</v>
      </c>
      <c r="B3" s="180" t="s">
        <v>222</v>
      </c>
      <c r="C3" s="180" t="s">
        <v>35</v>
      </c>
      <c r="D3" s="180" t="n">
        <v>40</v>
      </c>
      <c r="E3" s="176" t="n">
        <v>150000</v>
      </c>
      <c r="F3" s="179" t="s">
        <v>223</v>
      </c>
      <c r="G3" s="176" t="n">
        <v>150000</v>
      </c>
      <c r="I3" s="177" t="n">
        <v>60000</v>
      </c>
      <c r="J3" s="178" t="s">
        <v>224</v>
      </c>
      <c r="K3" s="178" t="s">
        <v>225</v>
      </c>
    </row>
    <row r="4" customFormat="false" ht="15" hidden="false" customHeight="true" outlineLevel="0" collapsed="false">
      <c r="A4" s="179" t="s">
        <v>224</v>
      </c>
      <c r="B4" s="180" t="s">
        <v>226</v>
      </c>
      <c r="C4" s="180" t="n">
        <v>35</v>
      </c>
      <c r="D4" s="180" t="n">
        <v>25</v>
      </c>
      <c r="E4" s="176" t="n">
        <v>72000</v>
      </c>
      <c r="F4" s="179" t="s">
        <v>227</v>
      </c>
      <c r="G4" s="176" t="n">
        <v>90000</v>
      </c>
      <c r="I4" s="177" t="n">
        <v>30000</v>
      </c>
      <c r="J4" s="178" t="s">
        <v>228</v>
      </c>
      <c r="K4" s="178"/>
    </row>
    <row r="5" customFormat="false" ht="15" hidden="false" customHeight="true" outlineLevel="0" collapsed="false">
      <c r="A5" s="179" t="s">
        <v>229</v>
      </c>
      <c r="B5" s="180" t="s">
        <v>230</v>
      </c>
      <c r="C5" s="180" t="n">
        <v>35</v>
      </c>
      <c r="D5" s="180" t="n">
        <v>20</v>
      </c>
      <c r="E5" s="176" t="n">
        <v>30000</v>
      </c>
      <c r="F5" s="179" t="s">
        <v>231</v>
      </c>
      <c r="G5" s="176" t="n">
        <v>25000</v>
      </c>
      <c r="I5" s="177" t="n">
        <v>50000</v>
      </c>
      <c r="J5" s="178" t="s">
        <v>232</v>
      </c>
      <c r="K5" s="178" t="s">
        <v>233</v>
      </c>
    </row>
    <row r="6" customFormat="false" ht="15" hidden="false" customHeight="true" outlineLevel="0" collapsed="false">
      <c r="A6" s="179" t="s">
        <v>232</v>
      </c>
      <c r="B6" s="180" t="s">
        <v>230</v>
      </c>
      <c r="C6" s="180" t="n">
        <v>35</v>
      </c>
      <c r="D6" s="180" t="n">
        <v>30</v>
      </c>
      <c r="E6" s="176" t="n">
        <v>35000</v>
      </c>
      <c r="F6" s="179" t="s">
        <v>234</v>
      </c>
      <c r="G6" s="181" t="n">
        <v>50000</v>
      </c>
      <c r="I6" s="177" t="n">
        <v>20000</v>
      </c>
      <c r="J6" s="178" t="s">
        <v>235</v>
      </c>
      <c r="K6" s="178" t="s">
        <v>236</v>
      </c>
    </row>
    <row r="7" customFormat="false" ht="15" hidden="false" customHeight="true" outlineLevel="0" collapsed="false">
      <c r="A7" s="179" t="s">
        <v>235</v>
      </c>
      <c r="B7" s="180" t="s">
        <v>230</v>
      </c>
      <c r="C7" s="180" t="n">
        <v>25</v>
      </c>
      <c r="D7" s="180" t="n">
        <v>10</v>
      </c>
      <c r="E7" s="176" t="n">
        <v>10000</v>
      </c>
      <c r="F7" s="179" t="s">
        <v>237</v>
      </c>
      <c r="G7" s="181" t="n">
        <v>10000</v>
      </c>
      <c r="I7" s="177" t="n">
        <v>0</v>
      </c>
      <c r="J7" s="178" t="s">
        <v>238</v>
      </c>
      <c r="K7" s="178" t="s">
        <v>239</v>
      </c>
    </row>
    <row r="8" customFormat="false" ht="23.25" hidden="false" customHeight="true" outlineLevel="0" collapsed="false">
      <c r="A8" s="179" t="s">
        <v>238</v>
      </c>
      <c r="B8" s="180" t="s">
        <v>240</v>
      </c>
      <c r="C8" s="180" t="s">
        <v>241</v>
      </c>
      <c r="D8" s="180" t="s">
        <v>241</v>
      </c>
      <c r="E8" s="176" t="n">
        <v>20000</v>
      </c>
      <c r="F8" s="179" t="s">
        <v>242</v>
      </c>
      <c r="G8" s="181" t="n">
        <v>0</v>
      </c>
      <c r="I8" s="182" t="n">
        <v>0</v>
      </c>
      <c r="J8" s="183" t="s">
        <v>243</v>
      </c>
      <c r="K8" s="184" t="s">
        <v>244</v>
      </c>
    </row>
    <row r="9" customFormat="false" ht="15" hidden="false" customHeight="true" outlineLevel="0" collapsed="false">
      <c r="A9" s="179" t="s">
        <v>243</v>
      </c>
      <c r="B9" s="180" t="s">
        <v>230</v>
      </c>
      <c r="C9" s="180" t="s">
        <v>241</v>
      </c>
      <c r="D9" s="180" t="s">
        <v>241</v>
      </c>
      <c r="E9" s="176" t="n">
        <v>10000</v>
      </c>
      <c r="F9" s="179" t="s">
        <v>242</v>
      </c>
      <c r="G9" s="181" t="n">
        <v>0</v>
      </c>
      <c r="I9" s="185" t="n">
        <f aca="false">SUM(I2:I8)</f>
        <v>310000</v>
      </c>
      <c r="J9" s="186"/>
      <c r="K9" s="186"/>
    </row>
    <row r="10" customFormat="false" ht="15" hidden="false" customHeight="true" outlineLevel="0" collapsed="false">
      <c r="A10" s="187" t="s">
        <v>245</v>
      </c>
      <c r="B10" s="188"/>
      <c r="C10" s="189"/>
      <c r="D10" s="187"/>
      <c r="E10" s="190" t="n">
        <f aca="false">SUM(E3:E9)</f>
        <v>327000</v>
      </c>
      <c r="F10" s="189"/>
      <c r="G10" s="190" t="n">
        <f aca="false">SUM(G2:G9)</f>
        <v>325000</v>
      </c>
    </row>
    <row r="11" customFormat="false" ht="15" hidden="false" customHeight="true" outlineLevel="0" collapsed="false">
      <c r="G11" s="9"/>
    </row>
    <row r="12" customFormat="false" ht="15" hidden="false" customHeight="true" outlineLevel="0" collapsed="false">
      <c r="A12" s="170" t="s">
        <v>246</v>
      </c>
      <c r="B12" s="170"/>
      <c r="C12" s="170"/>
      <c r="D12" s="170"/>
      <c r="E12" s="170"/>
      <c r="F12" s="170"/>
      <c r="G12" s="9"/>
    </row>
    <row r="13" customFormat="false" ht="15" hidden="false" customHeight="true" outlineLevel="0" collapsed="false">
      <c r="A13" s="174" t="s">
        <v>217</v>
      </c>
      <c r="B13" s="175" t="s">
        <v>218</v>
      </c>
      <c r="C13" s="175" t="s">
        <v>219</v>
      </c>
      <c r="D13" s="175" t="s">
        <v>220</v>
      </c>
      <c r="E13" s="191" t="s">
        <v>216</v>
      </c>
      <c r="F13" s="192" t="s">
        <v>175</v>
      </c>
      <c r="G13" s="9"/>
    </row>
    <row r="14" customFormat="false" ht="15" hidden="false" customHeight="true" outlineLevel="0" collapsed="false">
      <c r="A14" s="179" t="s">
        <v>221</v>
      </c>
      <c r="B14" s="180" t="s">
        <v>222</v>
      </c>
      <c r="C14" s="180" t="s">
        <v>35</v>
      </c>
      <c r="D14" s="180" t="n">
        <v>32</v>
      </c>
      <c r="E14" s="176" t="n">
        <f aca="false">E3-9000</f>
        <v>141000</v>
      </c>
      <c r="F14" s="179" t="s">
        <v>247</v>
      </c>
      <c r="G14" s="9"/>
    </row>
    <row r="15" customFormat="false" ht="15" hidden="false" customHeight="true" outlineLevel="0" collapsed="false">
      <c r="A15" s="179" t="s">
        <v>224</v>
      </c>
      <c r="B15" s="180" t="s">
        <v>222</v>
      </c>
      <c r="C15" s="180" t="n">
        <v>35</v>
      </c>
      <c r="D15" s="180"/>
      <c r="E15" s="176" t="n">
        <v>45000</v>
      </c>
      <c r="F15" s="179" t="s">
        <v>248</v>
      </c>
      <c r="G15" s="9"/>
    </row>
    <row r="16" customFormat="false" ht="15" hidden="false" customHeight="true" outlineLevel="0" collapsed="false">
      <c r="A16" s="179" t="s">
        <v>229</v>
      </c>
      <c r="B16" s="180" t="s">
        <v>230</v>
      </c>
      <c r="C16" s="180" t="n">
        <v>35</v>
      </c>
      <c r="D16" s="180" t="n">
        <v>20</v>
      </c>
      <c r="E16" s="176" t="n">
        <f aca="false">E5</f>
        <v>30000</v>
      </c>
      <c r="F16" s="179" t="s">
        <v>249</v>
      </c>
      <c r="G16" s="9"/>
    </row>
    <row r="17" customFormat="false" ht="15" hidden="false" customHeight="true" outlineLevel="0" collapsed="false">
      <c r="A17" s="179" t="s">
        <v>232</v>
      </c>
      <c r="B17" s="180" t="s">
        <v>230</v>
      </c>
      <c r="C17" s="180" t="n">
        <v>20</v>
      </c>
      <c r="D17" s="180" t="n">
        <v>30</v>
      </c>
      <c r="E17" s="176" t="n">
        <f aca="false">E6</f>
        <v>35000</v>
      </c>
      <c r="F17" s="179" t="s">
        <v>250</v>
      </c>
      <c r="G17" s="9"/>
    </row>
    <row r="18" customFormat="false" ht="15" hidden="false" customHeight="true" outlineLevel="0" collapsed="false">
      <c r="A18" s="179" t="s">
        <v>235</v>
      </c>
      <c r="B18" s="180" t="s">
        <v>230</v>
      </c>
      <c r="C18" s="180" t="n">
        <v>25</v>
      </c>
      <c r="D18" s="180" t="n">
        <v>15</v>
      </c>
      <c r="E18" s="176" t="n">
        <v>13500</v>
      </c>
      <c r="F18" s="179" t="s">
        <v>242</v>
      </c>
      <c r="G18" s="9"/>
    </row>
    <row r="19" customFormat="false" ht="15" hidden="false" customHeight="true" outlineLevel="0" collapsed="false">
      <c r="A19" s="179" t="s">
        <v>238</v>
      </c>
      <c r="B19" s="180" t="s">
        <v>240</v>
      </c>
      <c r="C19" s="180" t="s">
        <v>241</v>
      </c>
      <c r="D19" s="180" t="s">
        <v>241</v>
      </c>
      <c r="E19" s="176" t="n">
        <f aca="false">E8</f>
        <v>20000</v>
      </c>
      <c r="F19" s="179" t="s">
        <v>242</v>
      </c>
      <c r="G19" s="9"/>
    </row>
    <row r="20" customFormat="false" ht="15" hidden="false" customHeight="true" outlineLevel="0" collapsed="false">
      <c r="A20" s="179" t="s">
        <v>243</v>
      </c>
      <c r="B20" s="180" t="s">
        <v>230</v>
      </c>
      <c r="C20" s="180" t="s">
        <v>241</v>
      </c>
      <c r="D20" s="180" t="s">
        <v>241</v>
      </c>
      <c r="E20" s="176" t="n">
        <f aca="false">E9</f>
        <v>10000</v>
      </c>
      <c r="F20" s="179" t="s">
        <v>242</v>
      </c>
      <c r="G20" s="9"/>
    </row>
    <row r="21" customFormat="false" ht="15" hidden="false" customHeight="true" outlineLevel="0" collapsed="false">
      <c r="A21" s="187" t="s">
        <v>245</v>
      </c>
      <c r="B21" s="188"/>
      <c r="C21" s="189"/>
      <c r="D21" s="187"/>
      <c r="E21" s="190" t="n">
        <f aca="false">SUM(E14:E20)</f>
        <v>294500</v>
      </c>
      <c r="F21" s="189"/>
      <c r="G21" s="9"/>
    </row>
    <row r="22" customFormat="false" ht="15" hidden="false" customHeight="true" outlineLevel="0" collapsed="false">
      <c r="G22" s="9"/>
    </row>
    <row r="23" customFormat="false" ht="15" hidden="false" customHeight="true" outlineLevel="0" collapsed="false">
      <c r="G23" s="9"/>
    </row>
    <row r="24" customFormat="false" ht="15" hidden="false" customHeight="true" outlineLevel="0" collapsed="false">
      <c r="A24" s="50" t="s">
        <v>251</v>
      </c>
      <c r="G24" s="9"/>
    </row>
    <row r="25" customFormat="false" ht="64.5" hidden="false" customHeight="true" outlineLevel="0" collapsed="false">
      <c r="A25" s="193" t="s">
        <v>252</v>
      </c>
      <c r="B25" s="193" t="s">
        <v>253</v>
      </c>
      <c r="C25" s="193" t="s">
        <v>254</v>
      </c>
      <c r="D25" s="193" t="s">
        <v>255</v>
      </c>
      <c r="E25" s="193" t="s">
        <v>256</v>
      </c>
      <c r="F25" s="193" t="s">
        <v>257</v>
      </c>
      <c r="G25" s="194" t="s">
        <v>258</v>
      </c>
      <c r="H25" s="195"/>
      <c r="I25" s="193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6"/>
      <c r="V25" s="196"/>
      <c r="W25" s="196"/>
    </row>
    <row r="26" customFormat="false" ht="15" hidden="false" customHeight="true" outlineLevel="0" collapsed="false">
      <c r="G26" s="9"/>
    </row>
    <row r="27" customFormat="false" ht="15" hidden="false" customHeight="true" outlineLevel="0" collapsed="false">
      <c r="A27" s="1" t="s">
        <v>259</v>
      </c>
      <c r="B27" s="197" t="n">
        <v>42000</v>
      </c>
      <c r="C27" s="197"/>
      <c r="D27" s="197"/>
      <c r="E27" s="197"/>
      <c r="F27" s="197" t="n">
        <v>3000</v>
      </c>
      <c r="G27" s="132"/>
      <c r="I27" s="197"/>
    </row>
    <row r="28" customFormat="false" ht="15" hidden="false" customHeight="true" outlineLevel="0" collapsed="false">
      <c r="G28" s="9"/>
    </row>
    <row r="29" customFormat="false" ht="15" hidden="false" customHeight="true" outlineLevel="0" collapsed="false">
      <c r="G29" s="9"/>
    </row>
    <row r="30" customFormat="false" ht="15" hidden="false" customHeight="true" outlineLevel="0" collapsed="false">
      <c r="A30" s="50" t="s">
        <v>260</v>
      </c>
      <c r="B30" s="50" t="s">
        <v>261</v>
      </c>
      <c r="C30" s="50" t="s">
        <v>262</v>
      </c>
      <c r="D30" s="50" t="s">
        <v>39</v>
      </c>
      <c r="F30" s="1" t="s">
        <v>263</v>
      </c>
      <c r="G30" s="9"/>
    </row>
    <row r="31" customFormat="false" ht="15" hidden="false" customHeight="true" outlineLevel="0" collapsed="false">
      <c r="A31" s="1" t="s">
        <v>264</v>
      </c>
      <c r="B31" s="10" t="n">
        <v>0.3</v>
      </c>
      <c r="C31" s="10" t="n">
        <v>0.4</v>
      </c>
      <c r="D31" s="10" t="n">
        <v>0.3</v>
      </c>
      <c r="F31" s="1" t="s">
        <v>265</v>
      </c>
      <c r="G31" s="9"/>
    </row>
    <row r="32" customFormat="false" ht="15" hidden="false" customHeight="true" outlineLevel="0" collapsed="false">
      <c r="A32" s="1" t="s">
        <v>266</v>
      </c>
      <c r="B32" s="10" t="n">
        <v>1</v>
      </c>
      <c r="F32" s="1" t="s">
        <v>115</v>
      </c>
      <c r="G32" s="9"/>
    </row>
    <row r="33" customFormat="false" ht="15" hidden="false" customHeight="true" outlineLevel="0" collapsed="false">
      <c r="A33" s="50" t="s">
        <v>224</v>
      </c>
      <c r="B33" s="10" t="n">
        <v>0.75</v>
      </c>
      <c r="C33" s="10" t="n">
        <v>0.15</v>
      </c>
      <c r="D33" s="10" t="n">
        <v>0.1</v>
      </c>
      <c r="F33" s="1" t="s">
        <v>116</v>
      </c>
      <c r="G33" s="9"/>
    </row>
    <row r="34" customFormat="false" ht="15" hidden="false" customHeight="true" outlineLevel="0" collapsed="false">
      <c r="A34" s="50" t="s">
        <v>267</v>
      </c>
      <c r="B34" s="10" t="n">
        <v>0.5</v>
      </c>
      <c r="C34" s="10" t="n">
        <v>0.5</v>
      </c>
      <c r="F34" s="1" t="s">
        <v>268</v>
      </c>
      <c r="G34" s="9"/>
    </row>
    <row r="35" customFormat="false" ht="15" hidden="false" customHeight="true" outlineLevel="0" collapsed="false">
      <c r="A35" s="50"/>
      <c r="G35" s="9"/>
    </row>
    <row r="36" customFormat="false" ht="15" hidden="false" customHeight="true" outlineLevel="0" collapsed="false">
      <c r="A36" s="50" t="s">
        <v>269</v>
      </c>
      <c r="G36" s="9"/>
    </row>
    <row r="37" customFormat="false" ht="15" hidden="false" customHeight="true" outlineLevel="0" collapsed="false">
      <c r="A37" s="198" t="n">
        <v>2024</v>
      </c>
      <c r="G37" s="9"/>
      <c r="H37" s="1"/>
      <c r="L37" s="1"/>
      <c r="M37" s="1"/>
      <c r="N37" s="1"/>
      <c r="O37" s="1"/>
      <c r="P37" s="1"/>
      <c r="Q37" s="1"/>
      <c r="R37" s="1"/>
      <c r="S37" s="1"/>
      <c r="T37" s="1"/>
      <c r="U37" s="199"/>
      <c r="V37" s="199"/>
      <c r="W37" s="199"/>
    </row>
    <row r="38" customFormat="false" ht="51.75" hidden="false" customHeight="true" outlineLevel="0" collapsed="false">
      <c r="A38" s="193" t="s">
        <v>252</v>
      </c>
      <c r="B38" s="193" t="s">
        <v>270</v>
      </c>
      <c r="C38" s="193" t="s">
        <v>254</v>
      </c>
      <c r="D38" s="193" t="s">
        <v>255</v>
      </c>
      <c r="E38" s="193" t="s">
        <v>256</v>
      </c>
      <c r="F38" s="193" t="s">
        <v>257</v>
      </c>
      <c r="G38" s="194" t="s">
        <v>258</v>
      </c>
      <c r="H38" s="1"/>
      <c r="I38" s="193"/>
      <c r="L38" s="1"/>
      <c r="M38" s="1"/>
      <c r="N38" s="1"/>
      <c r="O38" s="1"/>
      <c r="P38" s="1"/>
      <c r="Q38" s="1"/>
      <c r="R38" s="1"/>
      <c r="S38" s="1"/>
      <c r="T38" s="1"/>
      <c r="U38" s="199"/>
      <c r="V38" s="199"/>
      <c r="W38" s="199"/>
    </row>
    <row r="39" customFormat="false" ht="15" hidden="false" customHeight="true" outlineLevel="0" collapsed="false">
      <c r="A39" s="1" t="s">
        <v>271</v>
      </c>
      <c r="B39" s="197" t="n">
        <v>63420.8</v>
      </c>
      <c r="C39" s="197" t="n">
        <v>1268.45</v>
      </c>
      <c r="D39" s="197" t="n">
        <v>4439.48</v>
      </c>
      <c r="E39" s="197" t="n">
        <v>11168.97</v>
      </c>
      <c r="F39" s="197" t="n">
        <v>4851.69</v>
      </c>
      <c r="G39" s="132" t="n">
        <v>50983.38</v>
      </c>
      <c r="H39" s="1"/>
      <c r="I39" s="197"/>
      <c r="L39" s="1"/>
      <c r="M39" s="1"/>
      <c r="N39" s="1"/>
      <c r="O39" s="1"/>
      <c r="P39" s="1"/>
      <c r="Q39" s="1"/>
      <c r="R39" s="1"/>
      <c r="S39" s="1"/>
      <c r="T39" s="1"/>
      <c r="U39" s="199"/>
      <c r="V39" s="199"/>
      <c r="W39" s="199"/>
    </row>
    <row r="40" customFormat="false" ht="15" hidden="false" customHeight="true" outlineLevel="0" collapsed="false">
      <c r="A40" s="1" t="s">
        <v>272</v>
      </c>
      <c r="B40" s="197" t="n">
        <v>118364.78</v>
      </c>
      <c r="C40" s="197" t="n">
        <v>2466.16</v>
      </c>
      <c r="D40" s="197" t="n">
        <v>18619.35</v>
      </c>
      <c r="E40" s="197" t="n">
        <v>36822.37</v>
      </c>
      <c r="F40" s="197" t="n">
        <v>9292.91</v>
      </c>
      <c r="G40" s="132" t="n">
        <v>79076.25</v>
      </c>
      <c r="H40" s="1"/>
      <c r="I40" s="197"/>
      <c r="L40" s="1"/>
      <c r="M40" s="1"/>
      <c r="N40" s="1"/>
      <c r="O40" s="1"/>
      <c r="P40" s="1"/>
      <c r="Q40" s="1"/>
      <c r="R40" s="1"/>
      <c r="S40" s="1"/>
      <c r="T40" s="1"/>
      <c r="U40" s="199"/>
      <c r="V40" s="199"/>
      <c r="W40" s="199"/>
    </row>
    <row r="41" customFormat="false" ht="15" hidden="false" customHeight="true" outlineLevel="0" collapsed="false">
      <c r="A41" s="1" t="s">
        <v>273</v>
      </c>
      <c r="B41" s="8" t="n">
        <v>2950</v>
      </c>
      <c r="G41" s="9"/>
      <c r="H41" s="1"/>
      <c r="L41" s="1"/>
      <c r="M41" s="1"/>
      <c r="N41" s="1"/>
      <c r="O41" s="1"/>
      <c r="P41" s="1"/>
      <c r="Q41" s="1"/>
      <c r="R41" s="1"/>
      <c r="S41" s="1"/>
      <c r="T41" s="1"/>
      <c r="U41" s="199"/>
      <c r="V41" s="199"/>
      <c r="W41" s="199"/>
    </row>
    <row r="42" customFormat="false" ht="15" hidden="false" customHeight="true" outlineLevel="0" collapsed="false">
      <c r="B42" s="200" t="n">
        <f aca="false">SUM(B40:B41)</f>
        <v>121314.78</v>
      </c>
      <c r="F42" s="200" t="n">
        <v>9400</v>
      </c>
      <c r="G42" s="9"/>
      <c r="H42" s="1"/>
      <c r="L42" s="1"/>
      <c r="M42" s="1"/>
      <c r="N42" s="1"/>
      <c r="O42" s="1"/>
      <c r="P42" s="1"/>
      <c r="Q42" s="1"/>
      <c r="R42" s="1"/>
      <c r="S42" s="1"/>
      <c r="T42" s="1"/>
      <c r="U42" s="199"/>
      <c r="V42" s="199"/>
      <c r="W42" s="199"/>
    </row>
    <row r="43" customFormat="false" ht="51.75" hidden="false" customHeight="true" outlineLevel="0" collapsed="false">
      <c r="A43" s="201" t="s">
        <v>274</v>
      </c>
      <c r="B43" s="193" t="s">
        <v>275</v>
      </c>
      <c r="C43" s="193" t="s">
        <v>276</v>
      </c>
      <c r="D43" s="193" t="s">
        <v>277</v>
      </c>
      <c r="E43" s="193" t="s">
        <v>278</v>
      </c>
      <c r="F43" s="193" t="s">
        <v>279</v>
      </c>
      <c r="G43" s="194" t="s">
        <v>280</v>
      </c>
      <c r="H43" s="1"/>
      <c r="I43" s="193"/>
      <c r="L43" s="1"/>
      <c r="M43" s="1"/>
      <c r="N43" s="1"/>
      <c r="O43" s="1"/>
      <c r="P43" s="1"/>
      <c r="Q43" s="1"/>
      <c r="R43" s="1"/>
      <c r="S43" s="1"/>
      <c r="T43" s="1"/>
      <c r="U43" s="199"/>
      <c r="V43" s="199"/>
      <c r="W43" s="199"/>
    </row>
    <row r="44" customFormat="false" ht="15" hidden="false" customHeight="true" outlineLevel="0" collapsed="false">
      <c r="B44" s="197" t="n">
        <v>181785.58</v>
      </c>
      <c r="C44" s="197" t="n">
        <v>3734.61</v>
      </c>
      <c r="D44" s="197" t="n">
        <v>23058.83</v>
      </c>
      <c r="E44" s="197" t="n">
        <v>47991.34</v>
      </c>
      <c r="F44" s="197" t="n">
        <v>14144.6</v>
      </c>
      <c r="G44" s="132" t="n">
        <v>130059.63</v>
      </c>
      <c r="H44" s="1"/>
      <c r="I44" s="8"/>
      <c r="L44" s="1"/>
      <c r="M44" s="1"/>
      <c r="N44" s="1"/>
      <c r="O44" s="1"/>
      <c r="P44" s="1"/>
      <c r="Q44" s="1"/>
      <c r="R44" s="1"/>
      <c r="S44" s="1"/>
      <c r="T44" s="1"/>
      <c r="U44" s="199"/>
      <c r="V44" s="199"/>
      <c r="W44" s="199"/>
    </row>
    <row r="45" customFormat="false" ht="15" hidden="false" customHeight="true" outlineLevel="0" collapsed="false">
      <c r="G45" s="9"/>
      <c r="H45" s="1"/>
      <c r="L45" s="1"/>
      <c r="M45" s="1"/>
      <c r="N45" s="1"/>
      <c r="O45" s="1"/>
      <c r="P45" s="1"/>
      <c r="Q45" s="1"/>
      <c r="R45" s="1"/>
      <c r="S45" s="1"/>
      <c r="T45" s="1"/>
      <c r="U45" s="199"/>
      <c r="V45" s="199"/>
      <c r="W45" s="199"/>
    </row>
    <row r="46" customFormat="false" ht="15" hidden="false" customHeight="true" outlineLevel="0" collapsed="false">
      <c r="A46" s="202" t="n">
        <v>2024</v>
      </c>
      <c r="B46" s="202" t="n">
        <v>2024</v>
      </c>
      <c r="C46" s="203" t="s">
        <v>281</v>
      </c>
      <c r="D46" s="202" t="n">
        <v>2025</v>
      </c>
      <c r="E46" s="203" t="s">
        <v>282</v>
      </c>
      <c r="G46" s="9"/>
      <c r="H46" s="1"/>
      <c r="L46" s="1"/>
      <c r="M46" s="1"/>
      <c r="N46" s="1"/>
      <c r="O46" s="1"/>
      <c r="P46" s="1"/>
      <c r="Q46" s="1"/>
      <c r="R46" s="1"/>
      <c r="S46" s="1"/>
      <c r="T46" s="1"/>
      <c r="U46" s="199"/>
      <c r="V46" s="199"/>
      <c r="W46" s="199"/>
    </row>
    <row r="47" customFormat="false" ht="15" hidden="false" customHeight="true" outlineLevel="0" collapsed="false">
      <c r="A47" s="50" t="s">
        <v>283</v>
      </c>
      <c r="G47" s="9"/>
      <c r="H47" s="1"/>
      <c r="L47" s="1"/>
      <c r="M47" s="1"/>
      <c r="N47" s="1"/>
      <c r="O47" s="1"/>
      <c r="P47" s="1"/>
      <c r="Q47" s="1"/>
      <c r="R47" s="1"/>
      <c r="S47" s="1"/>
      <c r="T47" s="1"/>
      <c r="U47" s="199"/>
      <c r="V47" s="199"/>
      <c r="W47" s="199"/>
    </row>
    <row r="48" customFormat="false" ht="15" hidden="false" customHeight="true" outlineLevel="0" collapsed="false">
      <c r="A48" s="1" t="s">
        <v>284</v>
      </c>
      <c r="B48" s="197" t="n">
        <v>23314</v>
      </c>
      <c r="C48" s="8" t="n">
        <v>706.5</v>
      </c>
      <c r="D48" s="197" t="n">
        <v>8976.3</v>
      </c>
      <c r="E48" s="8" t="n">
        <v>255</v>
      </c>
      <c r="G48" s="9"/>
      <c r="H48" s="1"/>
      <c r="L48" s="1"/>
      <c r="M48" s="1"/>
      <c r="N48" s="1"/>
      <c r="O48" s="1"/>
      <c r="P48" s="1"/>
      <c r="Q48" s="1"/>
      <c r="R48" s="1"/>
      <c r="S48" s="1"/>
      <c r="T48" s="1"/>
      <c r="U48" s="199"/>
      <c r="V48" s="199"/>
      <c r="W48" s="199"/>
    </row>
    <row r="49" customFormat="false" ht="15" hidden="false" customHeight="true" outlineLevel="0" collapsed="false">
      <c r="A49" s="1" t="s">
        <v>285</v>
      </c>
      <c r="D49" s="197" t="n">
        <v>5740</v>
      </c>
      <c r="E49" s="8" t="n">
        <v>164</v>
      </c>
      <c r="G49" s="9"/>
      <c r="H49" s="1"/>
      <c r="L49" s="1"/>
      <c r="M49" s="1"/>
      <c r="N49" s="1"/>
      <c r="O49" s="1"/>
      <c r="P49" s="1"/>
      <c r="Q49" s="1"/>
      <c r="R49" s="1"/>
      <c r="S49" s="1"/>
      <c r="T49" s="1"/>
      <c r="U49" s="199"/>
      <c r="V49" s="199"/>
      <c r="W49" s="199"/>
    </row>
    <row r="50" customFormat="false" ht="15" hidden="false" customHeight="true" outlineLevel="0" collapsed="false">
      <c r="A50" s="50" t="s">
        <v>286</v>
      </c>
      <c r="B50" s="204" t="n">
        <f aca="false">SUM(B48:B49)</f>
        <v>23314</v>
      </c>
      <c r="C50" s="205" t="n">
        <f aca="false">SUM(C48:C49)</f>
        <v>706.5</v>
      </c>
      <c r="D50" s="204" t="n">
        <f aca="false">SUM(D47:D49)</f>
        <v>14716.3</v>
      </c>
      <c r="E50" s="205" t="n">
        <f aca="false">SUM(E48:E49)</f>
        <v>419</v>
      </c>
      <c r="G50" s="9"/>
      <c r="H50" s="1"/>
      <c r="L50" s="1"/>
      <c r="M50" s="1"/>
      <c r="N50" s="1"/>
      <c r="O50" s="1"/>
      <c r="P50" s="1"/>
      <c r="Q50" s="1"/>
      <c r="R50" s="1"/>
      <c r="S50" s="1"/>
      <c r="T50" s="1"/>
      <c r="U50" s="199"/>
      <c r="V50" s="199"/>
      <c r="W50" s="199"/>
    </row>
    <row r="51" customFormat="false" ht="15" hidden="false" customHeight="true" outlineLevel="0" collapsed="false">
      <c r="A51" s="50" t="s">
        <v>287</v>
      </c>
      <c r="D51" s="206" t="n">
        <v>55000</v>
      </c>
      <c r="G51" s="9"/>
      <c r="H51" s="1"/>
      <c r="L51" s="1"/>
      <c r="M51" s="1"/>
      <c r="N51" s="1"/>
      <c r="O51" s="1"/>
      <c r="P51" s="1"/>
      <c r="Q51" s="1"/>
      <c r="R51" s="1"/>
      <c r="S51" s="1"/>
      <c r="T51" s="1"/>
      <c r="U51" s="199"/>
      <c r="V51" s="199"/>
      <c r="W51" s="199"/>
    </row>
    <row r="52" customFormat="false" ht="15" hidden="false" customHeight="true" outlineLevel="0" collapsed="false">
      <c r="G52" s="9"/>
      <c r="H52" s="1"/>
      <c r="L52" s="1"/>
      <c r="M52" s="1"/>
      <c r="N52" s="1"/>
      <c r="O52" s="1"/>
      <c r="P52" s="1"/>
      <c r="Q52" s="1"/>
      <c r="R52" s="1"/>
      <c r="S52" s="1"/>
      <c r="T52" s="1"/>
      <c r="U52" s="199"/>
      <c r="V52" s="199"/>
      <c r="W52" s="199"/>
    </row>
    <row r="53" customFormat="false" ht="15" hidden="false" customHeight="true" outlineLevel="0" collapsed="false">
      <c r="A53" s="207" t="s">
        <v>288</v>
      </c>
      <c r="G53" s="9"/>
      <c r="H53" s="1"/>
      <c r="L53" s="1"/>
      <c r="M53" s="1"/>
      <c r="N53" s="1"/>
      <c r="O53" s="1"/>
      <c r="P53" s="1"/>
      <c r="Q53" s="1"/>
      <c r="R53" s="1"/>
      <c r="S53" s="1"/>
      <c r="T53" s="1"/>
      <c r="U53" s="199"/>
      <c r="V53" s="199"/>
      <c r="W53" s="199"/>
    </row>
    <row r="54" customFormat="false" ht="15" hidden="false" customHeight="true" outlineLevel="0" collapsed="false">
      <c r="A54" s="208" t="n">
        <v>242303</v>
      </c>
      <c r="G54" s="9"/>
      <c r="H54" s="1"/>
      <c r="L54" s="1"/>
      <c r="M54" s="1"/>
      <c r="N54" s="1"/>
      <c r="O54" s="1"/>
      <c r="P54" s="1"/>
      <c r="Q54" s="1"/>
      <c r="R54" s="1"/>
      <c r="S54" s="1"/>
      <c r="T54" s="1"/>
      <c r="U54" s="199"/>
      <c r="V54" s="199"/>
      <c r="W54" s="199"/>
    </row>
    <row r="55" customFormat="false" ht="15" hidden="false" customHeight="true" outlineLevel="0" collapsed="false">
      <c r="G55" s="9"/>
      <c r="H55" s="1"/>
      <c r="L55" s="1"/>
      <c r="M55" s="1"/>
      <c r="N55" s="1"/>
      <c r="O55" s="1"/>
      <c r="P55" s="1"/>
      <c r="Q55" s="1"/>
      <c r="R55" s="1"/>
      <c r="S55" s="1"/>
      <c r="T55" s="1"/>
      <c r="U55" s="199"/>
      <c r="V55" s="199"/>
      <c r="W55" s="199"/>
    </row>
    <row r="56" customFormat="false" ht="15" hidden="false" customHeight="true" outlineLevel="0" collapsed="false">
      <c r="G56" s="9"/>
    </row>
    <row r="57" customFormat="false" ht="15" hidden="false" customHeight="true" outlineLevel="0" collapsed="false">
      <c r="A57" s="209" t="s">
        <v>289</v>
      </c>
      <c r="G57" s="9"/>
    </row>
    <row r="58" customFormat="false" ht="15" hidden="false" customHeight="true" outlineLevel="0" collapsed="false">
      <c r="A58" s="210" t="s">
        <v>217</v>
      </c>
      <c r="B58" s="210" t="s">
        <v>290</v>
      </c>
      <c r="C58" s="210" t="s">
        <v>291</v>
      </c>
      <c r="D58" s="210" t="s">
        <v>292</v>
      </c>
      <c r="E58" s="210" t="s">
        <v>293</v>
      </c>
      <c r="F58" s="210" t="s">
        <v>294</v>
      </c>
      <c r="G58" s="9"/>
    </row>
    <row r="59" customFormat="false" ht="15" hidden="false" customHeight="true" outlineLevel="0" collapsed="false">
      <c r="A59" s="211" t="s">
        <v>295</v>
      </c>
      <c r="B59" s="212" t="n">
        <v>0.3</v>
      </c>
      <c r="C59" s="212" t="n">
        <v>0.3</v>
      </c>
      <c r="D59" s="212" t="n">
        <v>0.4</v>
      </c>
      <c r="E59" s="212" t="n">
        <v>1</v>
      </c>
      <c r="F59" s="213" t="n">
        <v>183967</v>
      </c>
      <c r="G59" s="9"/>
    </row>
    <row r="60" customFormat="false" ht="15" hidden="false" customHeight="true" outlineLevel="0" collapsed="false">
      <c r="A60" s="211" t="s">
        <v>296</v>
      </c>
      <c r="B60" s="212" t="n">
        <v>0.1</v>
      </c>
      <c r="C60" s="212" t="n">
        <v>0.75</v>
      </c>
      <c r="D60" s="212" t="n">
        <v>0.15</v>
      </c>
      <c r="E60" s="212" t="n">
        <v>1</v>
      </c>
      <c r="F60" s="213" t="n">
        <v>58713</v>
      </c>
      <c r="G60" s="9"/>
    </row>
    <row r="61" customFormat="false" ht="15" hidden="false" customHeight="true" outlineLevel="0" collapsed="false">
      <c r="A61" s="211" t="s">
        <v>297</v>
      </c>
      <c r="B61" s="212" t="n">
        <v>0</v>
      </c>
      <c r="C61" s="212" t="n">
        <v>0.8</v>
      </c>
      <c r="D61" s="212" t="n">
        <v>0.2</v>
      </c>
      <c r="E61" s="212" t="n">
        <v>1</v>
      </c>
      <c r="F61" s="213" t="n">
        <v>28000</v>
      </c>
      <c r="G61" s="9"/>
    </row>
    <row r="62" customFormat="false" ht="15" hidden="false" customHeight="true" outlineLevel="0" collapsed="false">
      <c r="A62" s="211" t="s">
        <v>298</v>
      </c>
      <c r="B62" s="212" t="n">
        <v>0.5</v>
      </c>
      <c r="C62" s="212" t="n">
        <v>0.5</v>
      </c>
      <c r="D62" s="212" t="n">
        <v>0</v>
      </c>
      <c r="E62" s="212" t="n">
        <v>1</v>
      </c>
      <c r="F62" s="213" t="n">
        <v>50000</v>
      </c>
      <c r="G62" s="9"/>
    </row>
    <row r="63" customFormat="false" ht="15" hidden="false" customHeight="true" outlineLevel="0" collapsed="false">
      <c r="A63" s="211" t="s">
        <v>93</v>
      </c>
      <c r="B63" s="212" t="n">
        <v>0</v>
      </c>
      <c r="C63" s="212" t="n">
        <v>0</v>
      </c>
      <c r="D63" s="212" t="n">
        <v>1</v>
      </c>
      <c r="E63" s="212" t="n">
        <v>1</v>
      </c>
      <c r="F63" s="213" t="n">
        <v>20000</v>
      </c>
      <c r="G63" s="9"/>
    </row>
    <row r="64" customFormat="false" ht="15" hidden="false" customHeight="true" outlineLevel="0" collapsed="false">
      <c r="A64" s="211" t="s">
        <v>95</v>
      </c>
      <c r="B64" s="212" t="n">
        <v>0</v>
      </c>
      <c r="C64" s="212" t="n">
        <v>0</v>
      </c>
      <c r="D64" s="212" t="n">
        <v>1</v>
      </c>
      <c r="E64" s="212" t="n">
        <v>1</v>
      </c>
      <c r="F64" s="213" t="n">
        <v>30000</v>
      </c>
      <c r="G64" s="9"/>
    </row>
    <row r="65" customFormat="false" ht="15" hidden="false" customHeight="true" outlineLevel="0" collapsed="false">
      <c r="A65" s="214" t="s">
        <v>299</v>
      </c>
      <c r="F65" s="215" t="n">
        <f aca="false">SUM(F59:F64)</f>
        <v>370680</v>
      </c>
      <c r="G65" s="9"/>
    </row>
    <row r="66" customFormat="false" ht="15" hidden="false" customHeight="true" outlineLevel="0" collapsed="false">
      <c r="G66" s="9"/>
    </row>
    <row r="67" customFormat="false" ht="15" hidden="false" customHeight="true" outlineLevel="0" collapsed="false">
      <c r="A67" s="209" t="s">
        <v>300</v>
      </c>
      <c r="G67" s="9"/>
    </row>
    <row r="68" customFormat="false" ht="15" hidden="false" customHeight="true" outlineLevel="0" collapsed="false">
      <c r="A68" s="216" t="s">
        <v>121</v>
      </c>
      <c r="B68" s="216" t="s">
        <v>301</v>
      </c>
      <c r="G68" s="9"/>
    </row>
    <row r="69" customFormat="false" ht="15" hidden="false" customHeight="true" outlineLevel="0" collapsed="false">
      <c r="A69" s="211" t="s">
        <v>39</v>
      </c>
      <c r="B69" s="217" t="n">
        <v>86061</v>
      </c>
      <c r="G69" s="9"/>
    </row>
    <row r="70" customFormat="false" ht="15" hidden="false" customHeight="true" outlineLevel="0" collapsed="false">
      <c r="A70" s="211" t="s">
        <v>55</v>
      </c>
      <c r="B70" s="217" t="n">
        <v>146625</v>
      </c>
      <c r="G70" s="9"/>
    </row>
    <row r="71" customFormat="false" ht="15" hidden="false" customHeight="true" outlineLevel="0" collapsed="false">
      <c r="A71" s="211" t="s">
        <v>48</v>
      </c>
      <c r="B71" s="217" t="n">
        <v>145494</v>
      </c>
      <c r="G71" s="9"/>
    </row>
    <row r="72" customFormat="false" ht="15" hidden="false" customHeight="true" outlineLevel="0" collapsed="false">
      <c r="A72" s="214" t="s">
        <v>299</v>
      </c>
      <c r="B72" s="215" t="n">
        <f aca="false">SUM(B69:B71)</f>
        <v>378180</v>
      </c>
      <c r="G72" s="9"/>
    </row>
    <row r="73" customFormat="false" ht="15" hidden="false" customHeight="true" outlineLevel="0" collapsed="false">
      <c r="G73" s="9"/>
    </row>
    <row r="74" customFormat="false" ht="15" hidden="false" customHeight="true" outlineLevel="0" collapsed="false">
      <c r="G74" s="9"/>
    </row>
    <row r="75" customFormat="false" ht="15" hidden="false" customHeight="true" outlineLevel="0" collapsed="false">
      <c r="G75" s="9"/>
    </row>
    <row r="76" customFormat="false" ht="15" hidden="false" customHeight="true" outlineLevel="0" collapsed="false">
      <c r="G76" s="9"/>
    </row>
    <row r="77" customFormat="false" ht="15" hidden="false" customHeight="true" outlineLevel="0" collapsed="false">
      <c r="G77" s="9"/>
    </row>
    <row r="78" customFormat="false" ht="15" hidden="false" customHeight="true" outlineLevel="0" collapsed="false">
      <c r="G78" s="9"/>
    </row>
    <row r="79" customFormat="false" ht="15" hidden="false" customHeight="true" outlineLevel="0" collapsed="false">
      <c r="G79" s="9"/>
    </row>
    <row r="80" customFormat="false" ht="15" hidden="false" customHeight="true" outlineLevel="0" collapsed="false">
      <c r="G80" s="9"/>
    </row>
    <row r="81" customFormat="false" ht="15" hidden="false" customHeight="true" outlineLevel="0" collapsed="false">
      <c r="G81" s="9"/>
    </row>
    <row r="82" customFormat="false" ht="15" hidden="false" customHeight="true" outlineLevel="0" collapsed="false">
      <c r="G82" s="9"/>
    </row>
    <row r="83" customFormat="false" ht="15" hidden="false" customHeight="true" outlineLevel="0" collapsed="false">
      <c r="G83" s="9"/>
    </row>
    <row r="84" customFormat="false" ht="15" hidden="false" customHeight="true" outlineLevel="0" collapsed="false">
      <c r="G84" s="9"/>
    </row>
    <row r="85" customFormat="false" ht="15" hidden="false" customHeight="true" outlineLevel="0" collapsed="false">
      <c r="G85" s="9"/>
    </row>
    <row r="86" customFormat="false" ht="15" hidden="false" customHeight="true" outlineLevel="0" collapsed="false">
      <c r="G86" s="9"/>
    </row>
    <row r="87" customFormat="false" ht="15" hidden="false" customHeight="true" outlineLevel="0" collapsed="false">
      <c r="G87" s="9"/>
    </row>
    <row r="88" customFormat="false" ht="15" hidden="false" customHeight="true" outlineLevel="0" collapsed="false">
      <c r="G88" s="9"/>
    </row>
    <row r="89" customFormat="false" ht="15" hidden="false" customHeight="true" outlineLevel="0" collapsed="false">
      <c r="G89" s="9"/>
    </row>
    <row r="90" customFormat="false" ht="15" hidden="false" customHeight="true" outlineLevel="0" collapsed="false">
      <c r="G90" s="9"/>
    </row>
    <row r="91" customFormat="false" ht="15" hidden="false" customHeight="true" outlineLevel="0" collapsed="false">
      <c r="G91" s="9"/>
    </row>
    <row r="92" customFormat="false" ht="15" hidden="false" customHeight="true" outlineLevel="0" collapsed="false">
      <c r="G92" s="9"/>
    </row>
    <row r="93" customFormat="false" ht="15" hidden="false" customHeight="true" outlineLevel="0" collapsed="false">
      <c r="G93" s="9"/>
    </row>
    <row r="94" customFormat="false" ht="15" hidden="false" customHeight="true" outlineLevel="0" collapsed="false">
      <c r="G94" s="9"/>
    </row>
    <row r="95" customFormat="false" ht="15" hidden="false" customHeight="true" outlineLevel="0" collapsed="false">
      <c r="G95" s="9"/>
    </row>
    <row r="96" customFormat="false" ht="15" hidden="false" customHeight="true" outlineLevel="0" collapsed="false">
      <c r="G96" s="9"/>
    </row>
    <row r="97" customFormat="false" ht="15" hidden="false" customHeight="true" outlineLevel="0" collapsed="false">
      <c r="G97" s="9"/>
    </row>
    <row r="98" customFormat="false" ht="15" hidden="false" customHeight="true" outlineLevel="0" collapsed="false">
      <c r="G98" s="9"/>
    </row>
    <row r="99" customFormat="false" ht="15" hidden="false" customHeight="true" outlineLevel="0" collapsed="false">
      <c r="G99" s="9"/>
    </row>
    <row r="100" customFormat="false" ht="15" hidden="false" customHeight="true" outlineLevel="0" collapsed="false">
      <c r="G100" s="9"/>
    </row>
    <row r="101" customFormat="false" ht="15" hidden="false" customHeight="true" outlineLevel="0" collapsed="false">
      <c r="G101" s="9"/>
    </row>
    <row r="102" customFormat="false" ht="15" hidden="false" customHeight="true" outlineLevel="0" collapsed="false">
      <c r="G102" s="9"/>
    </row>
    <row r="103" customFormat="false" ht="15" hidden="false" customHeight="true" outlineLevel="0" collapsed="false">
      <c r="G103" s="9"/>
    </row>
    <row r="104" customFormat="false" ht="15" hidden="false" customHeight="true" outlineLevel="0" collapsed="false">
      <c r="G104" s="9"/>
    </row>
    <row r="105" customFormat="false" ht="15" hidden="false" customHeight="true" outlineLevel="0" collapsed="false">
      <c r="G105" s="9"/>
    </row>
    <row r="106" customFormat="false" ht="15" hidden="false" customHeight="true" outlineLevel="0" collapsed="false">
      <c r="G106" s="9"/>
    </row>
    <row r="107" customFormat="false" ht="15" hidden="false" customHeight="true" outlineLevel="0" collapsed="false">
      <c r="G107" s="9"/>
    </row>
    <row r="108" customFormat="false" ht="15" hidden="false" customHeight="true" outlineLevel="0" collapsed="false">
      <c r="G108" s="9"/>
    </row>
    <row r="109" customFormat="false" ht="15" hidden="false" customHeight="true" outlineLevel="0" collapsed="false">
      <c r="G109" s="9"/>
    </row>
    <row r="110" customFormat="false" ht="15" hidden="false" customHeight="true" outlineLevel="0" collapsed="false">
      <c r="G110" s="9"/>
    </row>
    <row r="111" customFormat="false" ht="15" hidden="false" customHeight="true" outlineLevel="0" collapsed="false">
      <c r="G111" s="9"/>
    </row>
    <row r="112" customFormat="false" ht="15" hidden="false" customHeight="true" outlineLevel="0" collapsed="false">
      <c r="G112" s="9"/>
    </row>
    <row r="113" customFormat="false" ht="15" hidden="false" customHeight="true" outlineLevel="0" collapsed="false">
      <c r="G113" s="9"/>
    </row>
    <row r="114" customFormat="false" ht="15" hidden="false" customHeight="true" outlineLevel="0" collapsed="false">
      <c r="G114" s="9"/>
    </row>
    <row r="115" customFormat="false" ht="15" hidden="false" customHeight="true" outlineLevel="0" collapsed="false">
      <c r="G115" s="9"/>
    </row>
    <row r="116" customFormat="false" ht="15" hidden="false" customHeight="true" outlineLevel="0" collapsed="false">
      <c r="G116" s="9"/>
    </row>
    <row r="117" customFormat="false" ht="15" hidden="false" customHeight="true" outlineLevel="0" collapsed="false">
      <c r="G117" s="9"/>
    </row>
    <row r="118" customFormat="false" ht="15" hidden="false" customHeight="true" outlineLevel="0" collapsed="false">
      <c r="G118" s="9"/>
    </row>
    <row r="119" customFormat="false" ht="15" hidden="false" customHeight="true" outlineLevel="0" collapsed="false">
      <c r="G119" s="9"/>
    </row>
    <row r="120" customFormat="false" ht="15" hidden="false" customHeight="true" outlineLevel="0" collapsed="false">
      <c r="G120" s="9"/>
    </row>
    <row r="121" customFormat="false" ht="15" hidden="false" customHeight="true" outlineLevel="0" collapsed="false">
      <c r="G121" s="9"/>
    </row>
    <row r="122" customFormat="false" ht="15" hidden="false" customHeight="true" outlineLevel="0" collapsed="false">
      <c r="G122" s="9"/>
    </row>
    <row r="123" customFormat="false" ht="15" hidden="false" customHeight="true" outlineLevel="0" collapsed="false">
      <c r="G123" s="9"/>
    </row>
    <row r="124" customFormat="false" ht="15" hidden="false" customHeight="true" outlineLevel="0" collapsed="false">
      <c r="G124" s="9"/>
    </row>
    <row r="125" customFormat="false" ht="15" hidden="false" customHeight="true" outlineLevel="0" collapsed="false">
      <c r="G125" s="9"/>
    </row>
    <row r="126" customFormat="false" ht="15" hidden="false" customHeight="true" outlineLevel="0" collapsed="false">
      <c r="G126" s="9"/>
    </row>
    <row r="127" customFormat="false" ht="15" hidden="false" customHeight="true" outlineLevel="0" collapsed="false">
      <c r="G127" s="9"/>
    </row>
    <row r="128" customFormat="false" ht="15" hidden="false" customHeight="true" outlineLevel="0" collapsed="false">
      <c r="G128" s="9"/>
    </row>
    <row r="129" customFormat="false" ht="15" hidden="false" customHeight="true" outlineLevel="0" collapsed="false">
      <c r="G129" s="9"/>
    </row>
    <row r="130" customFormat="false" ht="15" hidden="false" customHeight="true" outlineLevel="0" collapsed="false">
      <c r="G130" s="9"/>
    </row>
    <row r="131" customFormat="false" ht="15" hidden="false" customHeight="true" outlineLevel="0" collapsed="false">
      <c r="G131" s="9"/>
    </row>
    <row r="132" customFormat="false" ht="15" hidden="false" customHeight="true" outlineLevel="0" collapsed="false">
      <c r="G132" s="9"/>
    </row>
    <row r="133" customFormat="false" ht="15" hidden="false" customHeight="true" outlineLevel="0" collapsed="false">
      <c r="G133" s="9"/>
    </row>
    <row r="134" customFormat="false" ht="15" hidden="false" customHeight="true" outlineLevel="0" collapsed="false">
      <c r="G134" s="9"/>
    </row>
    <row r="135" customFormat="false" ht="15" hidden="false" customHeight="true" outlineLevel="0" collapsed="false">
      <c r="G135" s="9"/>
    </row>
    <row r="136" customFormat="false" ht="15" hidden="false" customHeight="true" outlineLevel="0" collapsed="false">
      <c r="G136" s="9"/>
    </row>
    <row r="137" customFormat="false" ht="15" hidden="false" customHeight="true" outlineLevel="0" collapsed="false">
      <c r="G137" s="9"/>
    </row>
    <row r="138" customFormat="false" ht="15" hidden="false" customHeight="true" outlineLevel="0" collapsed="false">
      <c r="G138" s="9"/>
    </row>
    <row r="139" customFormat="false" ht="15" hidden="false" customHeight="true" outlineLevel="0" collapsed="false">
      <c r="G139" s="9"/>
    </row>
    <row r="140" customFormat="false" ht="15" hidden="false" customHeight="true" outlineLevel="0" collapsed="false">
      <c r="G140" s="9"/>
    </row>
    <row r="141" customFormat="false" ht="15" hidden="false" customHeight="true" outlineLevel="0" collapsed="false">
      <c r="G141" s="9"/>
    </row>
    <row r="142" customFormat="false" ht="15" hidden="false" customHeight="true" outlineLevel="0" collapsed="false">
      <c r="G142" s="9"/>
    </row>
    <row r="143" customFormat="false" ht="15" hidden="false" customHeight="true" outlineLevel="0" collapsed="false">
      <c r="G143" s="9"/>
    </row>
    <row r="144" customFormat="false" ht="15" hidden="false" customHeight="true" outlineLevel="0" collapsed="false">
      <c r="G144" s="9"/>
    </row>
    <row r="145" customFormat="false" ht="15" hidden="false" customHeight="true" outlineLevel="0" collapsed="false">
      <c r="G145" s="9"/>
    </row>
    <row r="146" customFormat="false" ht="15" hidden="false" customHeight="true" outlineLevel="0" collapsed="false">
      <c r="G146" s="9"/>
    </row>
    <row r="147" customFormat="false" ht="15" hidden="false" customHeight="true" outlineLevel="0" collapsed="false">
      <c r="G147" s="9"/>
    </row>
    <row r="148" customFormat="false" ht="15" hidden="false" customHeight="true" outlineLevel="0" collapsed="false">
      <c r="G148" s="9"/>
    </row>
    <row r="149" customFormat="false" ht="15" hidden="false" customHeight="true" outlineLevel="0" collapsed="false">
      <c r="G149" s="9"/>
    </row>
    <row r="150" customFormat="false" ht="15" hidden="false" customHeight="true" outlineLevel="0" collapsed="false">
      <c r="G150" s="9"/>
    </row>
    <row r="151" customFormat="false" ht="15" hidden="false" customHeight="true" outlineLevel="0" collapsed="false">
      <c r="G151" s="218"/>
    </row>
    <row r="152" customFormat="false" ht="15" hidden="false" customHeight="true" outlineLevel="0" collapsed="false">
      <c r="G152" s="218"/>
    </row>
    <row r="153" customFormat="false" ht="15" hidden="false" customHeight="true" outlineLevel="0" collapsed="false">
      <c r="G153" s="218"/>
    </row>
    <row r="154" customFormat="false" ht="15" hidden="false" customHeight="true" outlineLevel="0" collapsed="false">
      <c r="G154" s="218"/>
    </row>
    <row r="155" customFormat="false" ht="15" hidden="false" customHeight="true" outlineLevel="0" collapsed="false">
      <c r="G155" s="218"/>
    </row>
    <row r="156" customFormat="false" ht="15" hidden="false" customHeight="true" outlineLevel="0" collapsed="false">
      <c r="G156" s="218"/>
    </row>
    <row r="157" customFormat="false" ht="15" hidden="false" customHeight="true" outlineLevel="0" collapsed="false">
      <c r="G157" s="218"/>
    </row>
    <row r="158" customFormat="false" ht="15" hidden="false" customHeight="true" outlineLevel="0" collapsed="false">
      <c r="G158" s="218"/>
    </row>
    <row r="159" customFormat="false" ht="15" hidden="false" customHeight="true" outlineLevel="0" collapsed="false">
      <c r="G159" s="218"/>
    </row>
    <row r="160" customFormat="false" ht="15" hidden="false" customHeight="true" outlineLevel="0" collapsed="false">
      <c r="G160" s="218"/>
    </row>
    <row r="161" customFormat="false" ht="15" hidden="false" customHeight="true" outlineLevel="0" collapsed="false">
      <c r="G161" s="218"/>
    </row>
    <row r="162" customFormat="false" ht="15" hidden="false" customHeight="true" outlineLevel="0" collapsed="false">
      <c r="G162" s="218"/>
    </row>
    <row r="163" customFormat="false" ht="15" hidden="false" customHeight="true" outlineLevel="0" collapsed="false">
      <c r="G163" s="218"/>
    </row>
    <row r="164" customFormat="false" ht="15" hidden="false" customHeight="true" outlineLevel="0" collapsed="false">
      <c r="G164" s="218"/>
    </row>
    <row r="165" customFormat="false" ht="15" hidden="false" customHeight="true" outlineLevel="0" collapsed="false">
      <c r="G165" s="218"/>
    </row>
    <row r="166" customFormat="false" ht="15" hidden="false" customHeight="true" outlineLevel="0" collapsed="false">
      <c r="G166" s="218"/>
    </row>
    <row r="167" customFormat="false" ht="15" hidden="false" customHeight="true" outlineLevel="0" collapsed="false">
      <c r="G167" s="218"/>
    </row>
    <row r="168" customFormat="false" ht="15" hidden="false" customHeight="true" outlineLevel="0" collapsed="false">
      <c r="G168" s="218"/>
    </row>
    <row r="169" customFormat="false" ht="15" hidden="false" customHeight="true" outlineLevel="0" collapsed="false">
      <c r="G169" s="218"/>
    </row>
    <row r="170" customFormat="false" ht="15" hidden="false" customHeight="true" outlineLevel="0" collapsed="false">
      <c r="G170" s="218"/>
    </row>
    <row r="171" customFormat="false" ht="15" hidden="false" customHeight="true" outlineLevel="0" collapsed="false">
      <c r="G171" s="218"/>
    </row>
    <row r="172" customFormat="false" ht="15" hidden="false" customHeight="true" outlineLevel="0" collapsed="false">
      <c r="G172" s="218"/>
    </row>
    <row r="173" customFormat="false" ht="15" hidden="false" customHeight="true" outlineLevel="0" collapsed="false">
      <c r="G173" s="218"/>
    </row>
    <row r="174" customFormat="false" ht="15" hidden="false" customHeight="true" outlineLevel="0" collapsed="false">
      <c r="G174" s="218"/>
    </row>
    <row r="175" customFormat="false" ht="15" hidden="false" customHeight="true" outlineLevel="0" collapsed="false">
      <c r="G175" s="218"/>
    </row>
    <row r="176" customFormat="false" ht="15" hidden="false" customHeight="true" outlineLevel="0" collapsed="false">
      <c r="G176" s="218"/>
    </row>
    <row r="177" customFormat="false" ht="15" hidden="false" customHeight="true" outlineLevel="0" collapsed="false">
      <c r="G177" s="218"/>
    </row>
    <row r="178" customFormat="false" ht="15" hidden="false" customHeight="true" outlineLevel="0" collapsed="false">
      <c r="G178" s="218"/>
    </row>
    <row r="179" customFormat="false" ht="15" hidden="false" customHeight="true" outlineLevel="0" collapsed="false">
      <c r="G179" s="218"/>
    </row>
    <row r="180" customFormat="false" ht="15" hidden="false" customHeight="true" outlineLevel="0" collapsed="false">
      <c r="G180" s="218"/>
    </row>
    <row r="181" customFormat="false" ht="15" hidden="false" customHeight="true" outlineLevel="0" collapsed="false">
      <c r="G181" s="218"/>
    </row>
    <row r="182" customFormat="false" ht="15" hidden="false" customHeight="true" outlineLevel="0" collapsed="false">
      <c r="G182" s="218"/>
    </row>
    <row r="183" customFormat="false" ht="15" hidden="false" customHeight="true" outlineLevel="0" collapsed="false">
      <c r="G183" s="218"/>
    </row>
    <row r="184" customFormat="false" ht="15" hidden="false" customHeight="true" outlineLevel="0" collapsed="false">
      <c r="G184" s="218"/>
    </row>
    <row r="185" customFormat="false" ht="15" hidden="false" customHeight="true" outlineLevel="0" collapsed="false">
      <c r="G185" s="218"/>
    </row>
    <row r="186" customFormat="false" ht="15" hidden="false" customHeight="true" outlineLevel="0" collapsed="false">
      <c r="G186" s="218"/>
    </row>
    <row r="187" customFormat="false" ht="15" hidden="false" customHeight="true" outlineLevel="0" collapsed="false">
      <c r="G187" s="218"/>
    </row>
    <row r="188" customFormat="false" ht="15" hidden="false" customHeight="true" outlineLevel="0" collapsed="false">
      <c r="G188" s="218"/>
    </row>
    <row r="189" customFormat="false" ht="15" hidden="false" customHeight="true" outlineLevel="0" collapsed="false">
      <c r="G189" s="218"/>
    </row>
    <row r="190" customFormat="false" ht="15" hidden="false" customHeight="true" outlineLevel="0" collapsed="false">
      <c r="G190" s="218"/>
    </row>
    <row r="191" customFormat="false" ht="15" hidden="false" customHeight="true" outlineLevel="0" collapsed="false">
      <c r="G191" s="218"/>
    </row>
    <row r="192" customFormat="false" ht="15" hidden="false" customHeight="true" outlineLevel="0" collapsed="false">
      <c r="G192" s="218"/>
    </row>
    <row r="193" customFormat="false" ht="15" hidden="false" customHeight="true" outlineLevel="0" collapsed="false">
      <c r="G193" s="218"/>
    </row>
    <row r="194" customFormat="false" ht="15" hidden="false" customHeight="true" outlineLevel="0" collapsed="false">
      <c r="G194" s="218"/>
    </row>
    <row r="195" customFormat="false" ht="15" hidden="false" customHeight="true" outlineLevel="0" collapsed="false">
      <c r="G195" s="218"/>
    </row>
    <row r="196" customFormat="false" ht="15" hidden="false" customHeight="true" outlineLevel="0" collapsed="false">
      <c r="G196" s="218"/>
    </row>
    <row r="197" customFormat="false" ht="15" hidden="false" customHeight="true" outlineLevel="0" collapsed="false">
      <c r="G197" s="218"/>
    </row>
    <row r="198" customFormat="false" ht="15" hidden="false" customHeight="true" outlineLevel="0" collapsed="false">
      <c r="G198" s="218"/>
    </row>
    <row r="199" customFormat="false" ht="15" hidden="false" customHeight="true" outlineLevel="0" collapsed="false">
      <c r="G199" s="218"/>
    </row>
    <row r="200" customFormat="false" ht="15" hidden="false" customHeight="true" outlineLevel="0" collapsed="false">
      <c r="G200" s="218"/>
    </row>
    <row r="201" customFormat="false" ht="15" hidden="false" customHeight="true" outlineLevel="0" collapsed="false">
      <c r="G201" s="218"/>
    </row>
    <row r="202" customFormat="false" ht="15" hidden="false" customHeight="true" outlineLevel="0" collapsed="false">
      <c r="G202" s="218"/>
    </row>
    <row r="203" customFormat="false" ht="15" hidden="false" customHeight="true" outlineLevel="0" collapsed="false">
      <c r="G203" s="218"/>
    </row>
    <row r="204" customFormat="false" ht="15" hidden="false" customHeight="true" outlineLevel="0" collapsed="false">
      <c r="G204" s="218"/>
    </row>
    <row r="205" customFormat="false" ht="15" hidden="false" customHeight="true" outlineLevel="0" collapsed="false">
      <c r="G205" s="218"/>
    </row>
    <row r="206" customFormat="false" ht="15" hidden="false" customHeight="true" outlineLevel="0" collapsed="false">
      <c r="G206" s="218"/>
    </row>
    <row r="207" customFormat="false" ht="15" hidden="false" customHeight="true" outlineLevel="0" collapsed="false">
      <c r="G207" s="218"/>
    </row>
    <row r="208" customFormat="false" ht="15" hidden="false" customHeight="true" outlineLevel="0" collapsed="false">
      <c r="G208" s="218"/>
    </row>
    <row r="209" customFormat="false" ht="15" hidden="false" customHeight="true" outlineLevel="0" collapsed="false">
      <c r="G209" s="218"/>
    </row>
    <row r="210" customFormat="false" ht="15" hidden="false" customHeight="true" outlineLevel="0" collapsed="false">
      <c r="G210" s="218"/>
    </row>
    <row r="211" customFormat="false" ht="15" hidden="false" customHeight="true" outlineLevel="0" collapsed="false">
      <c r="G211" s="218"/>
    </row>
    <row r="212" customFormat="false" ht="15" hidden="false" customHeight="true" outlineLevel="0" collapsed="false">
      <c r="G212" s="218"/>
    </row>
    <row r="213" customFormat="false" ht="15" hidden="false" customHeight="true" outlineLevel="0" collapsed="false">
      <c r="G213" s="218"/>
    </row>
    <row r="214" customFormat="false" ht="15" hidden="false" customHeight="true" outlineLevel="0" collapsed="false">
      <c r="G214" s="218"/>
    </row>
    <row r="215" customFormat="false" ht="15" hidden="false" customHeight="true" outlineLevel="0" collapsed="false">
      <c r="G215" s="218"/>
    </row>
    <row r="216" customFormat="false" ht="15" hidden="false" customHeight="true" outlineLevel="0" collapsed="false">
      <c r="G216" s="218"/>
    </row>
    <row r="217" customFormat="false" ht="15" hidden="false" customHeight="true" outlineLevel="0" collapsed="false">
      <c r="G217" s="218"/>
    </row>
    <row r="218" customFormat="false" ht="15" hidden="false" customHeight="true" outlineLevel="0" collapsed="false">
      <c r="G218" s="218"/>
    </row>
    <row r="219" customFormat="false" ht="15" hidden="false" customHeight="true" outlineLevel="0" collapsed="false">
      <c r="G219" s="218"/>
    </row>
    <row r="220" customFormat="false" ht="15" hidden="false" customHeight="true" outlineLevel="0" collapsed="false">
      <c r="G220" s="218"/>
    </row>
    <row r="221" customFormat="false" ht="15" hidden="false" customHeight="true" outlineLevel="0" collapsed="false">
      <c r="G221" s="218"/>
    </row>
    <row r="222" customFormat="false" ht="15" hidden="false" customHeight="true" outlineLevel="0" collapsed="false">
      <c r="G222" s="218"/>
    </row>
    <row r="223" customFormat="false" ht="15" hidden="false" customHeight="true" outlineLevel="0" collapsed="false">
      <c r="G223" s="218"/>
    </row>
    <row r="224" customFormat="false" ht="15" hidden="false" customHeight="true" outlineLevel="0" collapsed="false">
      <c r="G224" s="218"/>
    </row>
    <row r="225" customFormat="false" ht="15" hidden="false" customHeight="true" outlineLevel="0" collapsed="false">
      <c r="G225" s="218"/>
    </row>
    <row r="226" customFormat="false" ht="15" hidden="false" customHeight="true" outlineLevel="0" collapsed="false">
      <c r="G226" s="218"/>
    </row>
    <row r="227" customFormat="false" ht="15" hidden="false" customHeight="true" outlineLevel="0" collapsed="false">
      <c r="G227" s="218"/>
    </row>
    <row r="228" customFormat="false" ht="15" hidden="false" customHeight="true" outlineLevel="0" collapsed="false">
      <c r="G228" s="218"/>
    </row>
    <row r="229" customFormat="false" ht="15" hidden="false" customHeight="true" outlineLevel="0" collapsed="false">
      <c r="G229" s="218"/>
    </row>
    <row r="230" customFormat="false" ht="15" hidden="false" customHeight="true" outlineLevel="0" collapsed="false">
      <c r="G230" s="218"/>
    </row>
    <row r="231" customFormat="false" ht="15" hidden="false" customHeight="true" outlineLevel="0" collapsed="false">
      <c r="G231" s="218"/>
    </row>
    <row r="232" customFormat="false" ht="15" hidden="false" customHeight="true" outlineLevel="0" collapsed="false">
      <c r="G232" s="218"/>
    </row>
    <row r="233" customFormat="false" ht="15" hidden="false" customHeight="true" outlineLevel="0" collapsed="false">
      <c r="G233" s="218"/>
    </row>
    <row r="234" customFormat="false" ht="15" hidden="false" customHeight="true" outlineLevel="0" collapsed="false">
      <c r="G234" s="218"/>
    </row>
    <row r="235" customFormat="false" ht="15" hidden="false" customHeight="true" outlineLevel="0" collapsed="false">
      <c r="G235" s="218"/>
    </row>
    <row r="236" customFormat="false" ht="15" hidden="false" customHeight="true" outlineLevel="0" collapsed="false">
      <c r="G236" s="218"/>
    </row>
    <row r="237" customFormat="false" ht="15" hidden="false" customHeight="true" outlineLevel="0" collapsed="false">
      <c r="G237" s="218"/>
    </row>
    <row r="238" customFormat="false" ht="15" hidden="false" customHeight="true" outlineLevel="0" collapsed="false">
      <c r="G238" s="218"/>
    </row>
    <row r="239" customFormat="false" ht="15" hidden="false" customHeight="true" outlineLevel="0" collapsed="false">
      <c r="G239" s="218"/>
    </row>
    <row r="240" customFormat="false" ht="15" hidden="false" customHeight="true" outlineLevel="0" collapsed="false">
      <c r="G240" s="218"/>
    </row>
    <row r="241" customFormat="false" ht="15" hidden="false" customHeight="true" outlineLevel="0" collapsed="false">
      <c r="G241" s="218"/>
    </row>
    <row r="242" customFormat="false" ht="15" hidden="false" customHeight="true" outlineLevel="0" collapsed="false">
      <c r="G242" s="218"/>
    </row>
    <row r="243" customFormat="false" ht="15" hidden="false" customHeight="true" outlineLevel="0" collapsed="false">
      <c r="G243" s="218"/>
    </row>
    <row r="244" customFormat="false" ht="15" hidden="false" customHeight="true" outlineLevel="0" collapsed="false">
      <c r="G244" s="218"/>
    </row>
    <row r="245" customFormat="false" ht="15" hidden="false" customHeight="true" outlineLevel="0" collapsed="false">
      <c r="G245" s="218"/>
    </row>
    <row r="246" customFormat="false" ht="15" hidden="false" customHeight="true" outlineLevel="0" collapsed="false">
      <c r="G246" s="218"/>
    </row>
    <row r="247" customFormat="false" ht="15" hidden="false" customHeight="true" outlineLevel="0" collapsed="false">
      <c r="G247" s="218"/>
    </row>
    <row r="248" customFormat="false" ht="15" hidden="false" customHeight="true" outlineLevel="0" collapsed="false">
      <c r="G248" s="218"/>
    </row>
    <row r="249" customFormat="false" ht="15" hidden="false" customHeight="true" outlineLevel="0" collapsed="false">
      <c r="G249" s="218"/>
    </row>
    <row r="250" customFormat="false" ht="15" hidden="false" customHeight="true" outlineLevel="0" collapsed="false">
      <c r="G250" s="218"/>
    </row>
    <row r="251" customFormat="false" ht="15" hidden="false" customHeight="true" outlineLevel="0" collapsed="false">
      <c r="G251" s="218"/>
    </row>
    <row r="252" customFormat="false" ht="15" hidden="false" customHeight="true" outlineLevel="0" collapsed="false">
      <c r="G252" s="218"/>
    </row>
    <row r="253" customFormat="false" ht="15" hidden="false" customHeight="true" outlineLevel="0" collapsed="false">
      <c r="G253" s="218"/>
    </row>
    <row r="254" customFormat="false" ht="15" hidden="false" customHeight="true" outlineLevel="0" collapsed="false">
      <c r="G254" s="218"/>
    </row>
    <row r="255" customFormat="false" ht="15" hidden="false" customHeight="true" outlineLevel="0" collapsed="false">
      <c r="G255" s="218"/>
    </row>
    <row r="256" customFormat="false" ht="15" hidden="false" customHeight="true" outlineLevel="0" collapsed="false">
      <c r="G256" s="218"/>
    </row>
    <row r="257" customFormat="false" ht="15" hidden="false" customHeight="true" outlineLevel="0" collapsed="false">
      <c r="G257" s="218"/>
    </row>
    <row r="258" customFormat="false" ht="15" hidden="false" customHeight="true" outlineLevel="0" collapsed="false">
      <c r="G258" s="218"/>
    </row>
    <row r="259" customFormat="false" ht="15" hidden="false" customHeight="true" outlineLevel="0" collapsed="false">
      <c r="G259" s="218"/>
    </row>
    <row r="260" customFormat="false" ht="15" hidden="false" customHeight="true" outlineLevel="0" collapsed="false">
      <c r="G260" s="218"/>
    </row>
    <row r="261" customFormat="false" ht="15" hidden="false" customHeight="true" outlineLevel="0" collapsed="false">
      <c r="G261" s="218"/>
    </row>
    <row r="262" customFormat="false" ht="15" hidden="false" customHeight="true" outlineLevel="0" collapsed="false">
      <c r="G262" s="218"/>
    </row>
    <row r="263" customFormat="false" ht="15" hidden="false" customHeight="true" outlineLevel="0" collapsed="false">
      <c r="G263" s="218"/>
    </row>
    <row r="264" customFormat="false" ht="15" hidden="false" customHeight="true" outlineLevel="0" collapsed="false">
      <c r="G264" s="218"/>
    </row>
    <row r="265" customFormat="false" ht="15" hidden="false" customHeight="true" outlineLevel="0" collapsed="false">
      <c r="G265" s="218"/>
    </row>
    <row r="266" customFormat="false" ht="15" hidden="false" customHeight="true" outlineLevel="0" collapsed="false">
      <c r="G266" s="218"/>
    </row>
    <row r="267" customFormat="false" ht="15" hidden="false" customHeight="true" outlineLevel="0" collapsed="false">
      <c r="G267" s="218"/>
    </row>
    <row r="268" customFormat="false" ht="15" hidden="false" customHeight="true" outlineLevel="0" collapsed="false">
      <c r="G268" s="218"/>
    </row>
    <row r="269" customFormat="false" ht="15" hidden="false" customHeight="true" outlineLevel="0" collapsed="false">
      <c r="G269" s="218"/>
    </row>
    <row r="270" customFormat="false" ht="15" hidden="false" customHeight="true" outlineLevel="0" collapsed="false">
      <c r="G270" s="218"/>
    </row>
    <row r="271" customFormat="false" ht="15" hidden="false" customHeight="true" outlineLevel="0" collapsed="false">
      <c r="G271" s="218"/>
    </row>
    <row r="272" customFormat="false" ht="15" hidden="false" customHeight="true" outlineLevel="0" collapsed="false">
      <c r="G272" s="218"/>
    </row>
    <row r="273" customFormat="false" ht="15" hidden="false" customHeight="true" outlineLevel="0" collapsed="false">
      <c r="G273" s="218"/>
    </row>
    <row r="274" customFormat="false" ht="15" hidden="false" customHeight="true" outlineLevel="0" collapsed="false">
      <c r="G274" s="218"/>
    </row>
    <row r="275" customFormat="false" ht="15" hidden="false" customHeight="true" outlineLevel="0" collapsed="false">
      <c r="G275" s="218"/>
    </row>
    <row r="276" customFormat="false" ht="15" hidden="false" customHeight="true" outlineLevel="0" collapsed="false">
      <c r="G276" s="218"/>
    </row>
    <row r="277" customFormat="false" ht="15" hidden="false" customHeight="true" outlineLevel="0" collapsed="false">
      <c r="G277" s="218"/>
    </row>
    <row r="278" customFormat="false" ht="15" hidden="false" customHeight="true" outlineLevel="0" collapsed="false">
      <c r="G278" s="218"/>
    </row>
    <row r="279" customFormat="false" ht="15" hidden="false" customHeight="true" outlineLevel="0" collapsed="false">
      <c r="G279" s="218"/>
    </row>
    <row r="280" customFormat="false" ht="15" hidden="false" customHeight="true" outlineLevel="0" collapsed="false">
      <c r="G280" s="218"/>
    </row>
    <row r="281" customFormat="false" ht="15" hidden="false" customHeight="true" outlineLevel="0" collapsed="false">
      <c r="G281" s="218"/>
    </row>
    <row r="282" customFormat="false" ht="15" hidden="false" customHeight="true" outlineLevel="0" collapsed="false">
      <c r="G282" s="218"/>
    </row>
    <row r="283" customFormat="false" ht="15" hidden="false" customHeight="true" outlineLevel="0" collapsed="false">
      <c r="G283" s="218"/>
    </row>
    <row r="284" customFormat="false" ht="15" hidden="false" customHeight="true" outlineLevel="0" collapsed="false">
      <c r="G284" s="218"/>
    </row>
    <row r="285" customFormat="false" ht="15" hidden="false" customHeight="true" outlineLevel="0" collapsed="false">
      <c r="G285" s="218"/>
    </row>
    <row r="286" customFormat="false" ht="15" hidden="false" customHeight="true" outlineLevel="0" collapsed="false">
      <c r="G286" s="218"/>
    </row>
    <row r="287" customFormat="false" ht="15" hidden="false" customHeight="true" outlineLevel="0" collapsed="false">
      <c r="G287" s="218"/>
    </row>
    <row r="288" customFormat="false" ht="15" hidden="false" customHeight="true" outlineLevel="0" collapsed="false">
      <c r="G288" s="218"/>
    </row>
    <row r="289" customFormat="false" ht="15" hidden="false" customHeight="true" outlineLevel="0" collapsed="false">
      <c r="G289" s="218"/>
    </row>
    <row r="290" customFormat="false" ht="15" hidden="false" customHeight="true" outlineLevel="0" collapsed="false">
      <c r="G290" s="218"/>
    </row>
    <row r="291" customFormat="false" ht="15" hidden="false" customHeight="true" outlineLevel="0" collapsed="false">
      <c r="G291" s="218"/>
    </row>
    <row r="292" customFormat="false" ht="15" hidden="false" customHeight="true" outlineLevel="0" collapsed="false">
      <c r="G292" s="218"/>
    </row>
    <row r="293" customFormat="false" ht="15" hidden="false" customHeight="true" outlineLevel="0" collapsed="false">
      <c r="G293" s="218"/>
    </row>
    <row r="294" customFormat="false" ht="15" hidden="false" customHeight="true" outlineLevel="0" collapsed="false">
      <c r="G294" s="218"/>
    </row>
    <row r="295" customFormat="false" ht="15" hidden="false" customHeight="true" outlineLevel="0" collapsed="false">
      <c r="G295" s="218"/>
    </row>
    <row r="296" customFormat="false" ht="15" hidden="false" customHeight="true" outlineLevel="0" collapsed="false">
      <c r="G296" s="218"/>
    </row>
    <row r="297" customFormat="false" ht="15" hidden="false" customHeight="true" outlineLevel="0" collapsed="false">
      <c r="G297" s="218"/>
    </row>
    <row r="298" customFormat="false" ht="15" hidden="false" customHeight="true" outlineLevel="0" collapsed="false">
      <c r="G298" s="218"/>
    </row>
    <row r="299" customFormat="false" ht="15" hidden="false" customHeight="true" outlineLevel="0" collapsed="false">
      <c r="G299" s="218"/>
    </row>
    <row r="300" customFormat="false" ht="15" hidden="false" customHeight="true" outlineLevel="0" collapsed="false">
      <c r="G300" s="218"/>
    </row>
    <row r="301" customFormat="false" ht="15" hidden="false" customHeight="true" outlineLevel="0" collapsed="false">
      <c r="G301" s="218"/>
    </row>
    <row r="302" customFormat="false" ht="15" hidden="false" customHeight="true" outlineLevel="0" collapsed="false">
      <c r="G302" s="218"/>
    </row>
    <row r="303" customFormat="false" ht="15" hidden="false" customHeight="true" outlineLevel="0" collapsed="false">
      <c r="G303" s="218"/>
    </row>
    <row r="304" customFormat="false" ht="15" hidden="false" customHeight="true" outlineLevel="0" collapsed="false">
      <c r="G304" s="218"/>
    </row>
    <row r="305" customFormat="false" ht="15" hidden="false" customHeight="true" outlineLevel="0" collapsed="false">
      <c r="G305" s="218"/>
    </row>
    <row r="306" customFormat="false" ht="15" hidden="false" customHeight="true" outlineLevel="0" collapsed="false">
      <c r="G306" s="218"/>
    </row>
    <row r="307" customFormat="false" ht="15" hidden="false" customHeight="true" outlineLevel="0" collapsed="false">
      <c r="G307" s="218"/>
    </row>
    <row r="308" customFormat="false" ht="15" hidden="false" customHeight="true" outlineLevel="0" collapsed="false">
      <c r="G308" s="218"/>
    </row>
    <row r="309" customFormat="false" ht="15" hidden="false" customHeight="true" outlineLevel="0" collapsed="false">
      <c r="G309" s="218"/>
    </row>
    <row r="310" customFormat="false" ht="15" hidden="false" customHeight="true" outlineLevel="0" collapsed="false">
      <c r="G310" s="218"/>
    </row>
    <row r="311" customFormat="false" ht="15" hidden="false" customHeight="true" outlineLevel="0" collapsed="false">
      <c r="G311" s="218"/>
    </row>
    <row r="312" customFormat="false" ht="15" hidden="false" customHeight="true" outlineLevel="0" collapsed="false">
      <c r="G312" s="218"/>
    </row>
    <row r="313" customFormat="false" ht="15" hidden="false" customHeight="true" outlineLevel="0" collapsed="false">
      <c r="G313" s="218"/>
    </row>
    <row r="314" customFormat="false" ht="15" hidden="false" customHeight="true" outlineLevel="0" collapsed="false">
      <c r="G314" s="218"/>
    </row>
    <row r="315" customFormat="false" ht="15" hidden="false" customHeight="true" outlineLevel="0" collapsed="false">
      <c r="G315" s="218"/>
    </row>
    <row r="316" customFormat="false" ht="15" hidden="false" customHeight="true" outlineLevel="0" collapsed="false">
      <c r="G316" s="218"/>
    </row>
    <row r="317" customFormat="false" ht="15" hidden="false" customHeight="true" outlineLevel="0" collapsed="false">
      <c r="G317" s="218"/>
    </row>
    <row r="318" customFormat="false" ht="15" hidden="false" customHeight="true" outlineLevel="0" collapsed="false">
      <c r="G318" s="218"/>
    </row>
    <row r="319" customFormat="false" ht="15" hidden="false" customHeight="true" outlineLevel="0" collapsed="false">
      <c r="G319" s="218"/>
    </row>
    <row r="320" customFormat="false" ht="15" hidden="false" customHeight="true" outlineLevel="0" collapsed="false">
      <c r="G320" s="218"/>
    </row>
    <row r="321" customFormat="false" ht="15" hidden="false" customHeight="true" outlineLevel="0" collapsed="false">
      <c r="G321" s="218"/>
    </row>
    <row r="322" customFormat="false" ht="15" hidden="false" customHeight="true" outlineLevel="0" collapsed="false">
      <c r="G322" s="218"/>
    </row>
    <row r="323" customFormat="false" ht="15" hidden="false" customHeight="true" outlineLevel="0" collapsed="false">
      <c r="G323" s="218"/>
    </row>
    <row r="324" customFormat="false" ht="15" hidden="false" customHeight="true" outlineLevel="0" collapsed="false">
      <c r="G324" s="218"/>
    </row>
    <row r="325" customFormat="false" ht="15" hidden="false" customHeight="true" outlineLevel="0" collapsed="false">
      <c r="G325" s="218"/>
    </row>
    <row r="326" customFormat="false" ht="15" hidden="false" customHeight="true" outlineLevel="0" collapsed="false">
      <c r="G326" s="218"/>
    </row>
    <row r="327" customFormat="false" ht="15" hidden="false" customHeight="true" outlineLevel="0" collapsed="false">
      <c r="G327" s="218"/>
    </row>
    <row r="328" customFormat="false" ht="15" hidden="false" customHeight="true" outlineLevel="0" collapsed="false">
      <c r="G328" s="218"/>
    </row>
    <row r="329" customFormat="false" ht="15" hidden="false" customHeight="true" outlineLevel="0" collapsed="false">
      <c r="G329" s="218"/>
    </row>
    <row r="330" customFormat="false" ht="15" hidden="false" customHeight="true" outlineLevel="0" collapsed="false">
      <c r="G330" s="218"/>
    </row>
    <row r="331" customFormat="false" ht="15" hidden="false" customHeight="true" outlineLevel="0" collapsed="false">
      <c r="G331" s="218"/>
    </row>
    <row r="332" customFormat="false" ht="15" hidden="false" customHeight="true" outlineLevel="0" collapsed="false">
      <c r="G332" s="218"/>
    </row>
    <row r="333" customFormat="false" ht="15" hidden="false" customHeight="true" outlineLevel="0" collapsed="false">
      <c r="G333" s="218"/>
    </row>
    <row r="334" customFormat="false" ht="15" hidden="false" customHeight="true" outlineLevel="0" collapsed="false">
      <c r="G334" s="218"/>
    </row>
    <row r="335" customFormat="false" ht="15" hidden="false" customHeight="true" outlineLevel="0" collapsed="false">
      <c r="G335" s="218"/>
    </row>
    <row r="336" customFormat="false" ht="15" hidden="false" customHeight="true" outlineLevel="0" collapsed="false">
      <c r="G336" s="218"/>
    </row>
    <row r="337" customFormat="false" ht="15" hidden="false" customHeight="true" outlineLevel="0" collapsed="false">
      <c r="G337" s="218"/>
    </row>
    <row r="338" customFormat="false" ht="15" hidden="false" customHeight="true" outlineLevel="0" collapsed="false">
      <c r="G338" s="218"/>
    </row>
    <row r="339" customFormat="false" ht="15" hidden="false" customHeight="true" outlineLevel="0" collapsed="false">
      <c r="G339" s="218"/>
    </row>
    <row r="340" customFormat="false" ht="15" hidden="false" customHeight="true" outlineLevel="0" collapsed="false">
      <c r="G340" s="218"/>
    </row>
    <row r="341" customFormat="false" ht="15" hidden="false" customHeight="true" outlineLevel="0" collapsed="false">
      <c r="G341" s="218"/>
    </row>
    <row r="342" customFormat="false" ht="15" hidden="false" customHeight="true" outlineLevel="0" collapsed="false">
      <c r="G342" s="218"/>
    </row>
    <row r="343" customFormat="false" ht="15" hidden="false" customHeight="true" outlineLevel="0" collapsed="false">
      <c r="G343" s="218"/>
    </row>
    <row r="344" customFormat="false" ht="15" hidden="false" customHeight="true" outlineLevel="0" collapsed="false">
      <c r="G344" s="218"/>
    </row>
    <row r="345" customFormat="false" ht="15" hidden="false" customHeight="true" outlineLevel="0" collapsed="false">
      <c r="G345" s="218"/>
    </row>
    <row r="346" customFormat="false" ht="15" hidden="false" customHeight="true" outlineLevel="0" collapsed="false">
      <c r="G346" s="218"/>
    </row>
    <row r="347" customFormat="false" ht="15" hidden="false" customHeight="true" outlineLevel="0" collapsed="false">
      <c r="G347" s="218"/>
    </row>
    <row r="348" customFormat="false" ht="15" hidden="false" customHeight="true" outlineLevel="0" collapsed="false">
      <c r="G348" s="218"/>
    </row>
    <row r="349" customFormat="false" ht="15" hidden="false" customHeight="true" outlineLevel="0" collapsed="false">
      <c r="G349" s="218"/>
    </row>
    <row r="350" customFormat="false" ht="15" hidden="false" customHeight="true" outlineLevel="0" collapsed="false">
      <c r="G350" s="218"/>
    </row>
    <row r="351" customFormat="false" ht="15" hidden="false" customHeight="true" outlineLevel="0" collapsed="false">
      <c r="G351" s="218"/>
    </row>
    <row r="352" customFormat="false" ht="15" hidden="false" customHeight="true" outlineLevel="0" collapsed="false">
      <c r="G352" s="218"/>
    </row>
    <row r="353" customFormat="false" ht="15" hidden="false" customHeight="true" outlineLevel="0" collapsed="false">
      <c r="G353" s="218"/>
    </row>
    <row r="354" customFormat="false" ht="15" hidden="false" customHeight="true" outlineLevel="0" collapsed="false">
      <c r="G354" s="218"/>
    </row>
    <row r="355" customFormat="false" ht="15" hidden="false" customHeight="true" outlineLevel="0" collapsed="false">
      <c r="G355" s="218"/>
    </row>
    <row r="356" customFormat="false" ht="15" hidden="false" customHeight="true" outlineLevel="0" collapsed="false">
      <c r="G356" s="218"/>
    </row>
    <row r="357" customFormat="false" ht="15" hidden="false" customHeight="true" outlineLevel="0" collapsed="false">
      <c r="G357" s="218"/>
    </row>
    <row r="358" customFormat="false" ht="15" hidden="false" customHeight="true" outlineLevel="0" collapsed="false">
      <c r="G358" s="218"/>
    </row>
    <row r="359" customFormat="false" ht="15" hidden="false" customHeight="true" outlineLevel="0" collapsed="false">
      <c r="G359" s="218"/>
    </row>
    <row r="360" customFormat="false" ht="15" hidden="false" customHeight="true" outlineLevel="0" collapsed="false">
      <c r="G360" s="218"/>
    </row>
    <row r="361" customFormat="false" ht="15" hidden="false" customHeight="true" outlineLevel="0" collapsed="false">
      <c r="G361" s="218"/>
    </row>
    <row r="362" customFormat="false" ht="15" hidden="false" customHeight="true" outlineLevel="0" collapsed="false">
      <c r="G362" s="218"/>
    </row>
    <row r="363" customFormat="false" ht="15" hidden="false" customHeight="true" outlineLevel="0" collapsed="false">
      <c r="G363" s="218"/>
    </row>
    <row r="364" customFormat="false" ht="15" hidden="false" customHeight="true" outlineLevel="0" collapsed="false">
      <c r="G364" s="218"/>
    </row>
    <row r="365" customFormat="false" ht="15" hidden="false" customHeight="true" outlineLevel="0" collapsed="false">
      <c r="G365" s="218"/>
    </row>
    <row r="366" customFormat="false" ht="15" hidden="false" customHeight="true" outlineLevel="0" collapsed="false">
      <c r="G366" s="218"/>
    </row>
    <row r="367" customFormat="false" ht="15" hidden="false" customHeight="true" outlineLevel="0" collapsed="false">
      <c r="G367" s="218"/>
    </row>
    <row r="368" customFormat="false" ht="15" hidden="false" customHeight="true" outlineLevel="0" collapsed="false">
      <c r="G368" s="218"/>
    </row>
    <row r="369" customFormat="false" ht="15" hidden="false" customHeight="true" outlineLevel="0" collapsed="false">
      <c r="G369" s="218"/>
    </row>
    <row r="370" customFormat="false" ht="15" hidden="false" customHeight="true" outlineLevel="0" collapsed="false">
      <c r="G370" s="218"/>
    </row>
    <row r="371" customFormat="false" ht="15" hidden="false" customHeight="true" outlineLevel="0" collapsed="false">
      <c r="G371" s="218"/>
    </row>
    <row r="372" customFormat="false" ht="15" hidden="false" customHeight="true" outlineLevel="0" collapsed="false">
      <c r="G372" s="218"/>
    </row>
    <row r="373" customFormat="false" ht="15" hidden="false" customHeight="true" outlineLevel="0" collapsed="false">
      <c r="G373" s="218"/>
    </row>
    <row r="374" customFormat="false" ht="15" hidden="false" customHeight="true" outlineLevel="0" collapsed="false">
      <c r="G374" s="218"/>
    </row>
    <row r="375" customFormat="false" ht="15" hidden="false" customHeight="true" outlineLevel="0" collapsed="false">
      <c r="G375" s="218"/>
    </row>
    <row r="376" customFormat="false" ht="15" hidden="false" customHeight="true" outlineLevel="0" collapsed="false">
      <c r="G376" s="218"/>
    </row>
    <row r="377" customFormat="false" ht="15" hidden="false" customHeight="true" outlineLevel="0" collapsed="false">
      <c r="G377" s="218"/>
    </row>
    <row r="378" customFormat="false" ht="15" hidden="false" customHeight="true" outlineLevel="0" collapsed="false">
      <c r="G378" s="218"/>
    </row>
    <row r="379" customFormat="false" ht="15" hidden="false" customHeight="true" outlineLevel="0" collapsed="false">
      <c r="G379" s="218"/>
    </row>
    <row r="380" customFormat="false" ht="15" hidden="false" customHeight="true" outlineLevel="0" collapsed="false">
      <c r="G380" s="218"/>
    </row>
    <row r="381" customFormat="false" ht="15" hidden="false" customHeight="true" outlineLevel="0" collapsed="false">
      <c r="G381" s="218"/>
    </row>
    <row r="382" customFormat="false" ht="15" hidden="false" customHeight="true" outlineLevel="0" collapsed="false">
      <c r="G382" s="218"/>
    </row>
    <row r="383" customFormat="false" ht="15" hidden="false" customHeight="true" outlineLevel="0" collapsed="false">
      <c r="G383" s="218"/>
    </row>
    <row r="384" customFormat="false" ht="15" hidden="false" customHeight="true" outlineLevel="0" collapsed="false">
      <c r="G384" s="218"/>
    </row>
    <row r="385" customFormat="false" ht="15" hidden="false" customHeight="true" outlineLevel="0" collapsed="false">
      <c r="G385" s="218"/>
    </row>
    <row r="386" customFormat="false" ht="15" hidden="false" customHeight="true" outlineLevel="0" collapsed="false">
      <c r="G386" s="218"/>
    </row>
    <row r="387" customFormat="false" ht="15" hidden="false" customHeight="true" outlineLevel="0" collapsed="false">
      <c r="G387" s="218"/>
    </row>
    <row r="388" customFormat="false" ht="15" hidden="false" customHeight="true" outlineLevel="0" collapsed="false">
      <c r="G388" s="218"/>
    </row>
    <row r="389" customFormat="false" ht="15" hidden="false" customHeight="true" outlineLevel="0" collapsed="false">
      <c r="G389" s="218"/>
    </row>
    <row r="390" customFormat="false" ht="15" hidden="false" customHeight="true" outlineLevel="0" collapsed="false">
      <c r="G390" s="218"/>
    </row>
    <row r="391" customFormat="false" ht="15" hidden="false" customHeight="true" outlineLevel="0" collapsed="false">
      <c r="G391" s="218"/>
    </row>
    <row r="392" customFormat="false" ht="15" hidden="false" customHeight="true" outlineLevel="0" collapsed="false">
      <c r="G392" s="218"/>
    </row>
    <row r="393" customFormat="false" ht="15" hidden="false" customHeight="true" outlineLevel="0" collapsed="false">
      <c r="G393" s="218"/>
    </row>
    <row r="394" customFormat="false" ht="15" hidden="false" customHeight="true" outlineLevel="0" collapsed="false">
      <c r="G394" s="218"/>
    </row>
    <row r="395" customFormat="false" ht="15" hidden="false" customHeight="true" outlineLevel="0" collapsed="false">
      <c r="G395" s="218"/>
    </row>
    <row r="396" customFormat="false" ht="15" hidden="false" customHeight="true" outlineLevel="0" collapsed="false">
      <c r="G396" s="218"/>
    </row>
    <row r="397" customFormat="false" ht="15" hidden="false" customHeight="true" outlineLevel="0" collapsed="false">
      <c r="G397" s="218"/>
    </row>
    <row r="398" customFormat="false" ht="15" hidden="false" customHeight="true" outlineLevel="0" collapsed="false">
      <c r="G398" s="218"/>
    </row>
    <row r="399" customFormat="false" ht="15" hidden="false" customHeight="true" outlineLevel="0" collapsed="false">
      <c r="G399" s="218"/>
    </row>
    <row r="400" customFormat="false" ht="15" hidden="false" customHeight="true" outlineLevel="0" collapsed="false">
      <c r="G400" s="218"/>
    </row>
    <row r="401" customFormat="false" ht="15" hidden="false" customHeight="true" outlineLevel="0" collapsed="false">
      <c r="G401" s="218"/>
    </row>
    <row r="402" customFormat="false" ht="15" hidden="false" customHeight="true" outlineLevel="0" collapsed="false">
      <c r="G402" s="218"/>
    </row>
    <row r="403" customFormat="false" ht="15" hidden="false" customHeight="true" outlineLevel="0" collapsed="false">
      <c r="G403" s="218"/>
    </row>
    <row r="404" customFormat="false" ht="15" hidden="false" customHeight="true" outlineLevel="0" collapsed="false">
      <c r="G404" s="218"/>
    </row>
    <row r="405" customFormat="false" ht="15" hidden="false" customHeight="true" outlineLevel="0" collapsed="false">
      <c r="G405" s="218"/>
    </row>
    <row r="406" customFormat="false" ht="15" hidden="false" customHeight="true" outlineLevel="0" collapsed="false">
      <c r="G406" s="218"/>
    </row>
    <row r="407" customFormat="false" ht="15" hidden="false" customHeight="true" outlineLevel="0" collapsed="false">
      <c r="G407" s="218"/>
    </row>
    <row r="408" customFormat="false" ht="15" hidden="false" customHeight="true" outlineLevel="0" collapsed="false">
      <c r="G408" s="218"/>
    </row>
    <row r="409" customFormat="false" ht="15" hidden="false" customHeight="true" outlineLevel="0" collapsed="false">
      <c r="G409" s="218"/>
    </row>
    <row r="410" customFormat="false" ht="15" hidden="false" customHeight="true" outlineLevel="0" collapsed="false">
      <c r="G410" s="218"/>
    </row>
    <row r="411" customFormat="false" ht="15" hidden="false" customHeight="true" outlineLevel="0" collapsed="false">
      <c r="G411" s="218"/>
    </row>
    <row r="412" customFormat="false" ht="15" hidden="false" customHeight="true" outlineLevel="0" collapsed="false">
      <c r="G412" s="218"/>
    </row>
    <row r="413" customFormat="false" ht="15" hidden="false" customHeight="true" outlineLevel="0" collapsed="false">
      <c r="G413" s="218"/>
    </row>
    <row r="414" customFormat="false" ht="15" hidden="false" customHeight="true" outlineLevel="0" collapsed="false">
      <c r="G414" s="218"/>
    </row>
    <row r="415" customFormat="false" ht="15" hidden="false" customHeight="true" outlineLevel="0" collapsed="false">
      <c r="G415" s="218"/>
    </row>
    <row r="416" customFormat="false" ht="15" hidden="false" customHeight="true" outlineLevel="0" collapsed="false">
      <c r="G416" s="218"/>
    </row>
    <row r="417" customFormat="false" ht="15" hidden="false" customHeight="true" outlineLevel="0" collapsed="false">
      <c r="G417" s="218"/>
    </row>
    <row r="418" customFormat="false" ht="15" hidden="false" customHeight="true" outlineLevel="0" collapsed="false">
      <c r="G418" s="218"/>
    </row>
    <row r="419" customFormat="false" ht="15" hidden="false" customHeight="true" outlineLevel="0" collapsed="false">
      <c r="G419" s="218"/>
    </row>
    <row r="420" customFormat="false" ht="15" hidden="false" customHeight="true" outlineLevel="0" collapsed="false">
      <c r="G420" s="218"/>
    </row>
    <row r="421" customFormat="false" ht="15" hidden="false" customHeight="true" outlineLevel="0" collapsed="false">
      <c r="G421" s="218"/>
    </row>
    <row r="422" customFormat="false" ht="15" hidden="false" customHeight="true" outlineLevel="0" collapsed="false">
      <c r="G422" s="218"/>
    </row>
    <row r="423" customFormat="false" ht="15" hidden="false" customHeight="true" outlineLevel="0" collapsed="false">
      <c r="G423" s="218"/>
    </row>
    <row r="424" customFormat="false" ht="15" hidden="false" customHeight="true" outlineLevel="0" collapsed="false">
      <c r="G424" s="218"/>
    </row>
    <row r="425" customFormat="false" ht="15" hidden="false" customHeight="true" outlineLevel="0" collapsed="false">
      <c r="G425" s="218"/>
    </row>
    <row r="426" customFormat="false" ht="15" hidden="false" customHeight="true" outlineLevel="0" collapsed="false">
      <c r="G426" s="218"/>
    </row>
    <row r="427" customFormat="false" ht="15" hidden="false" customHeight="true" outlineLevel="0" collapsed="false">
      <c r="G427" s="218"/>
    </row>
    <row r="428" customFormat="false" ht="15" hidden="false" customHeight="true" outlineLevel="0" collapsed="false">
      <c r="G428" s="218"/>
    </row>
    <row r="429" customFormat="false" ht="15" hidden="false" customHeight="true" outlineLevel="0" collapsed="false">
      <c r="G429" s="218"/>
    </row>
    <row r="430" customFormat="false" ht="15" hidden="false" customHeight="true" outlineLevel="0" collapsed="false">
      <c r="G430" s="218"/>
    </row>
    <row r="431" customFormat="false" ht="15" hidden="false" customHeight="true" outlineLevel="0" collapsed="false">
      <c r="G431" s="218"/>
    </row>
    <row r="432" customFormat="false" ht="15" hidden="false" customHeight="true" outlineLevel="0" collapsed="false">
      <c r="G432" s="218"/>
    </row>
    <row r="433" customFormat="false" ht="15" hidden="false" customHeight="true" outlineLevel="0" collapsed="false">
      <c r="G433" s="218"/>
    </row>
    <row r="434" customFormat="false" ht="15" hidden="false" customHeight="true" outlineLevel="0" collapsed="false">
      <c r="G434" s="218"/>
    </row>
    <row r="435" customFormat="false" ht="15" hidden="false" customHeight="true" outlineLevel="0" collapsed="false">
      <c r="G435" s="218"/>
    </row>
    <row r="436" customFormat="false" ht="15" hidden="false" customHeight="true" outlineLevel="0" collapsed="false">
      <c r="G436" s="218"/>
    </row>
    <row r="437" customFormat="false" ht="15" hidden="false" customHeight="true" outlineLevel="0" collapsed="false">
      <c r="G437" s="218"/>
    </row>
    <row r="438" customFormat="false" ht="15" hidden="false" customHeight="true" outlineLevel="0" collapsed="false">
      <c r="G438" s="218"/>
    </row>
    <row r="439" customFormat="false" ht="15" hidden="false" customHeight="true" outlineLevel="0" collapsed="false">
      <c r="G439" s="218"/>
    </row>
    <row r="440" customFormat="false" ht="15" hidden="false" customHeight="true" outlineLevel="0" collapsed="false">
      <c r="G440" s="218"/>
    </row>
    <row r="441" customFormat="false" ht="15" hidden="false" customHeight="true" outlineLevel="0" collapsed="false">
      <c r="G441" s="218"/>
    </row>
    <row r="442" customFormat="false" ht="15" hidden="false" customHeight="true" outlineLevel="0" collapsed="false">
      <c r="G442" s="218"/>
    </row>
    <row r="443" customFormat="false" ht="15" hidden="false" customHeight="true" outlineLevel="0" collapsed="false">
      <c r="G443" s="218"/>
    </row>
    <row r="444" customFormat="false" ht="15" hidden="false" customHeight="true" outlineLevel="0" collapsed="false">
      <c r="G444" s="218"/>
    </row>
    <row r="445" customFormat="false" ht="15" hidden="false" customHeight="true" outlineLevel="0" collapsed="false">
      <c r="G445" s="218"/>
    </row>
    <row r="446" customFormat="false" ht="15" hidden="false" customHeight="true" outlineLevel="0" collapsed="false">
      <c r="G446" s="218"/>
    </row>
    <row r="447" customFormat="false" ht="15" hidden="false" customHeight="true" outlineLevel="0" collapsed="false">
      <c r="G447" s="218"/>
    </row>
    <row r="448" customFormat="false" ht="15" hidden="false" customHeight="true" outlineLevel="0" collapsed="false">
      <c r="G448" s="218"/>
    </row>
    <row r="449" customFormat="false" ht="15" hidden="false" customHeight="true" outlineLevel="0" collapsed="false">
      <c r="G449" s="218"/>
    </row>
    <row r="450" customFormat="false" ht="15" hidden="false" customHeight="true" outlineLevel="0" collapsed="false">
      <c r="G450" s="218"/>
    </row>
    <row r="451" customFormat="false" ht="15" hidden="false" customHeight="true" outlineLevel="0" collapsed="false">
      <c r="G451" s="218"/>
    </row>
    <row r="452" customFormat="false" ht="15" hidden="false" customHeight="true" outlineLevel="0" collapsed="false">
      <c r="G452" s="218"/>
    </row>
    <row r="453" customFormat="false" ht="15" hidden="false" customHeight="true" outlineLevel="0" collapsed="false">
      <c r="G453" s="218"/>
    </row>
    <row r="454" customFormat="false" ht="15" hidden="false" customHeight="true" outlineLevel="0" collapsed="false">
      <c r="G454" s="218"/>
    </row>
    <row r="455" customFormat="false" ht="15" hidden="false" customHeight="true" outlineLevel="0" collapsed="false">
      <c r="G455" s="218"/>
    </row>
    <row r="456" customFormat="false" ht="15" hidden="false" customHeight="true" outlineLevel="0" collapsed="false">
      <c r="G456" s="218"/>
    </row>
    <row r="457" customFormat="false" ht="15" hidden="false" customHeight="true" outlineLevel="0" collapsed="false">
      <c r="G457" s="218"/>
    </row>
    <row r="458" customFormat="false" ht="15" hidden="false" customHeight="true" outlineLevel="0" collapsed="false">
      <c r="G458" s="218"/>
    </row>
    <row r="459" customFormat="false" ht="15" hidden="false" customHeight="true" outlineLevel="0" collapsed="false">
      <c r="G459" s="218"/>
    </row>
    <row r="460" customFormat="false" ht="15" hidden="false" customHeight="true" outlineLevel="0" collapsed="false">
      <c r="G460" s="218"/>
    </row>
    <row r="461" customFormat="false" ht="15" hidden="false" customHeight="true" outlineLevel="0" collapsed="false">
      <c r="G461" s="218"/>
    </row>
    <row r="462" customFormat="false" ht="15" hidden="false" customHeight="true" outlineLevel="0" collapsed="false">
      <c r="G462" s="218"/>
    </row>
    <row r="463" customFormat="false" ht="15" hidden="false" customHeight="true" outlineLevel="0" collapsed="false">
      <c r="G463" s="218"/>
    </row>
    <row r="464" customFormat="false" ht="15" hidden="false" customHeight="true" outlineLevel="0" collapsed="false">
      <c r="G464" s="218"/>
    </row>
    <row r="465" customFormat="false" ht="15" hidden="false" customHeight="true" outlineLevel="0" collapsed="false">
      <c r="G465" s="218"/>
    </row>
    <row r="466" customFormat="false" ht="15" hidden="false" customHeight="true" outlineLevel="0" collapsed="false">
      <c r="G466" s="218"/>
    </row>
    <row r="467" customFormat="false" ht="15" hidden="false" customHeight="true" outlineLevel="0" collapsed="false">
      <c r="G467" s="218"/>
    </row>
    <row r="468" customFormat="false" ht="15" hidden="false" customHeight="true" outlineLevel="0" collapsed="false">
      <c r="G468" s="218"/>
    </row>
    <row r="469" customFormat="false" ht="15" hidden="false" customHeight="true" outlineLevel="0" collapsed="false">
      <c r="G469" s="218"/>
    </row>
    <row r="470" customFormat="false" ht="15" hidden="false" customHeight="true" outlineLevel="0" collapsed="false">
      <c r="G470" s="218"/>
    </row>
    <row r="471" customFormat="false" ht="15" hidden="false" customHeight="true" outlineLevel="0" collapsed="false">
      <c r="G471" s="218"/>
    </row>
    <row r="472" customFormat="false" ht="15" hidden="false" customHeight="true" outlineLevel="0" collapsed="false">
      <c r="G472" s="218"/>
    </row>
    <row r="473" customFormat="false" ht="15" hidden="false" customHeight="true" outlineLevel="0" collapsed="false">
      <c r="G473" s="218"/>
    </row>
    <row r="474" customFormat="false" ht="15" hidden="false" customHeight="true" outlineLevel="0" collapsed="false">
      <c r="G474" s="218"/>
    </row>
    <row r="475" customFormat="false" ht="15" hidden="false" customHeight="true" outlineLevel="0" collapsed="false">
      <c r="G475" s="218"/>
    </row>
    <row r="476" customFormat="false" ht="15" hidden="false" customHeight="true" outlineLevel="0" collapsed="false">
      <c r="G476" s="218"/>
    </row>
    <row r="477" customFormat="false" ht="15" hidden="false" customHeight="true" outlineLevel="0" collapsed="false">
      <c r="G477" s="218"/>
    </row>
    <row r="478" customFormat="false" ht="15" hidden="false" customHeight="true" outlineLevel="0" collapsed="false">
      <c r="G478" s="218"/>
    </row>
    <row r="479" customFormat="false" ht="15" hidden="false" customHeight="true" outlineLevel="0" collapsed="false">
      <c r="G479" s="218"/>
    </row>
    <row r="480" customFormat="false" ht="15" hidden="false" customHeight="true" outlineLevel="0" collapsed="false">
      <c r="G480" s="218"/>
    </row>
    <row r="481" customFormat="false" ht="15" hidden="false" customHeight="true" outlineLevel="0" collapsed="false">
      <c r="G481" s="218"/>
    </row>
    <row r="482" customFormat="false" ht="15" hidden="false" customHeight="true" outlineLevel="0" collapsed="false">
      <c r="G482" s="218"/>
    </row>
    <row r="483" customFormat="false" ht="15" hidden="false" customHeight="true" outlineLevel="0" collapsed="false">
      <c r="G483" s="218"/>
    </row>
    <row r="484" customFormat="false" ht="15" hidden="false" customHeight="true" outlineLevel="0" collapsed="false">
      <c r="G484" s="218"/>
    </row>
    <row r="485" customFormat="false" ht="15" hidden="false" customHeight="true" outlineLevel="0" collapsed="false">
      <c r="G485" s="218"/>
    </row>
    <row r="486" customFormat="false" ht="15" hidden="false" customHeight="true" outlineLevel="0" collapsed="false">
      <c r="G486" s="218"/>
    </row>
    <row r="487" customFormat="false" ht="15" hidden="false" customHeight="true" outlineLevel="0" collapsed="false">
      <c r="G487" s="218"/>
    </row>
    <row r="488" customFormat="false" ht="15" hidden="false" customHeight="true" outlineLevel="0" collapsed="false">
      <c r="G488" s="218"/>
    </row>
    <row r="489" customFormat="false" ht="15" hidden="false" customHeight="true" outlineLevel="0" collapsed="false">
      <c r="G489" s="218"/>
    </row>
    <row r="490" customFormat="false" ht="15" hidden="false" customHeight="true" outlineLevel="0" collapsed="false">
      <c r="G490" s="218"/>
    </row>
    <row r="491" customFormat="false" ht="15" hidden="false" customHeight="true" outlineLevel="0" collapsed="false">
      <c r="G491" s="218"/>
    </row>
    <row r="492" customFormat="false" ht="15" hidden="false" customHeight="true" outlineLevel="0" collapsed="false">
      <c r="G492" s="218"/>
    </row>
    <row r="493" customFormat="false" ht="15" hidden="false" customHeight="true" outlineLevel="0" collapsed="false">
      <c r="G493" s="218"/>
    </row>
    <row r="494" customFormat="false" ht="15" hidden="false" customHeight="true" outlineLevel="0" collapsed="false">
      <c r="G494" s="218"/>
    </row>
    <row r="495" customFormat="false" ht="15" hidden="false" customHeight="true" outlineLevel="0" collapsed="false">
      <c r="G495" s="218"/>
    </row>
    <row r="496" customFormat="false" ht="15" hidden="false" customHeight="true" outlineLevel="0" collapsed="false">
      <c r="G496" s="218"/>
    </row>
    <row r="497" customFormat="false" ht="15" hidden="false" customHeight="true" outlineLevel="0" collapsed="false">
      <c r="G497" s="218"/>
    </row>
    <row r="498" customFormat="false" ht="15" hidden="false" customHeight="true" outlineLevel="0" collapsed="false">
      <c r="G498" s="218"/>
    </row>
    <row r="499" customFormat="false" ht="15" hidden="false" customHeight="true" outlineLevel="0" collapsed="false">
      <c r="G499" s="218"/>
    </row>
    <row r="500" customFormat="false" ht="15" hidden="false" customHeight="true" outlineLevel="0" collapsed="false">
      <c r="G500" s="218"/>
    </row>
    <row r="501" customFormat="false" ht="15" hidden="false" customHeight="true" outlineLevel="0" collapsed="false">
      <c r="G501" s="218"/>
    </row>
    <row r="502" customFormat="false" ht="15" hidden="false" customHeight="true" outlineLevel="0" collapsed="false">
      <c r="G502" s="218"/>
    </row>
    <row r="503" customFormat="false" ht="15" hidden="false" customHeight="true" outlineLevel="0" collapsed="false">
      <c r="G503" s="218"/>
    </row>
    <row r="504" customFormat="false" ht="15" hidden="false" customHeight="true" outlineLevel="0" collapsed="false">
      <c r="G504" s="218"/>
    </row>
    <row r="505" customFormat="false" ht="15" hidden="false" customHeight="true" outlineLevel="0" collapsed="false">
      <c r="G505" s="218"/>
    </row>
    <row r="506" customFormat="false" ht="15" hidden="false" customHeight="true" outlineLevel="0" collapsed="false">
      <c r="G506" s="218"/>
    </row>
    <row r="507" customFormat="false" ht="15" hidden="false" customHeight="true" outlineLevel="0" collapsed="false">
      <c r="G507" s="218"/>
    </row>
    <row r="508" customFormat="false" ht="15" hidden="false" customHeight="true" outlineLevel="0" collapsed="false">
      <c r="G508" s="218"/>
    </row>
    <row r="509" customFormat="false" ht="15" hidden="false" customHeight="true" outlineLevel="0" collapsed="false">
      <c r="G509" s="218"/>
    </row>
    <row r="510" customFormat="false" ht="15" hidden="false" customHeight="true" outlineLevel="0" collapsed="false">
      <c r="G510" s="218"/>
    </row>
    <row r="511" customFormat="false" ht="15" hidden="false" customHeight="true" outlineLevel="0" collapsed="false">
      <c r="G511" s="218"/>
    </row>
    <row r="512" customFormat="false" ht="15" hidden="false" customHeight="true" outlineLevel="0" collapsed="false">
      <c r="G512" s="218"/>
    </row>
    <row r="513" customFormat="false" ht="15" hidden="false" customHeight="true" outlineLevel="0" collapsed="false">
      <c r="G513" s="218"/>
    </row>
    <row r="514" customFormat="false" ht="15" hidden="false" customHeight="true" outlineLevel="0" collapsed="false">
      <c r="G514" s="218"/>
    </row>
    <row r="515" customFormat="false" ht="15" hidden="false" customHeight="true" outlineLevel="0" collapsed="false">
      <c r="G515" s="218"/>
    </row>
    <row r="516" customFormat="false" ht="15" hidden="false" customHeight="true" outlineLevel="0" collapsed="false">
      <c r="G516" s="218"/>
    </row>
    <row r="517" customFormat="false" ht="15" hidden="false" customHeight="true" outlineLevel="0" collapsed="false">
      <c r="G517" s="218"/>
    </row>
    <row r="518" customFormat="false" ht="15" hidden="false" customHeight="true" outlineLevel="0" collapsed="false">
      <c r="G518" s="218"/>
    </row>
    <row r="519" customFormat="false" ht="15" hidden="false" customHeight="true" outlineLevel="0" collapsed="false">
      <c r="G519" s="218"/>
    </row>
    <row r="520" customFormat="false" ht="15" hidden="false" customHeight="true" outlineLevel="0" collapsed="false">
      <c r="G520" s="218"/>
    </row>
    <row r="521" customFormat="false" ht="15" hidden="false" customHeight="true" outlineLevel="0" collapsed="false">
      <c r="G521" s="218"/>
    </row>
    <row r="522" customFormat="false" ht="15" hidden="false" customHeight="true" outlineLevel="0" collapsed="false">
      <c r="G522" s="218"/>
    </row>
    <row r="523" customFormat="false" ht="15" hidden="false" customHeight="true" outlineLevel="0" collapsed="false">
      <c r="G523" s="218"/>
    </row>
    <row r="524" customFormat="false" ht="15" hidden="false" customHeight="true" outlineLevel="0" collapsed="false">
      <c r="G524" s="218"/>
    </row>
    <row r="525" customFormat="false" ht="15" hidden="false" customHeight="true" outlineLevel="0" collapsed="false">
      <c r="G525" s="218"/>
    </row>
    <row r="526" customFormat="false" ht="15" hidden="false" customHeight="true" outlineLevel="0" collapsed="false">
      <c r="G526" s="218"/>
    </row>
    <row r="527" customFormat="false" ht="15" hidden="false" customHeight="true" outlineLevel="0" collapsed="false">
      <c r="G527" s="218"/>
    </row>
    <row r="528" customFormat="false" ht="15" hidden="false" customHeight="true" outlineLevel="0" collapsed="false">
      <c r="G528" s="218"/>
    </row>
    <row r="529" customFormat="false" ht="15" hidden="false" customHeight="true" outlineLevel="0" collapsed="false">
      <c r="G529" s="218"/>
    </row>
    <row r="530" customFormat="false" ht="15" hidden="false" customHeight="true" outlineLevel="0" collapsed="false">
      <c r="G530" s="218"/>
    </row>
    <row r="531" customFormat="false" ht="15" hidden="false" customHeight="true" outlineLevel="0" collapsed="false">
      <c r="G531" s="218"/>
    </row>
    <row r="532" customFormat="false" ht="15" hidden="false" customHeight="true" outlineLevel="0" collapsed="false">
      <c r="G532" s="218"/>
    </row>
    <row r="533" customFormat="false" ht="15" hidden="false" customHeight="true" outlineLevel="0" collapsed="false">
      <c r="G533" s="218"/>
    </row>
    <row r="534" customFormat="false" ht="15" hidden="false" customHeight="true" outlineLevel="0" collapsed="false">
      <c r="G534" s="218"/>
    </row>
    <row r="535" customFormat="false" ht="15" hidden="false" customHeight="true" outlineLevel="0" collapsed="false">
      <c r="G535" s="218"/>
    </row>
    <row r="536" customFormat="false" ht="15" hidden="false" customHeight="true" outlineLevel="0" collapsed="false">
      <c r="G536" s="218"/>
    </row>
    <row r="537" customFormat="false" ht="15" hidden="false" customHeight="true" outlineLevel="0" collapsed="false">
      <c r="G537" s="218"/>
    </row>
    <row r="538" customFormat="false" ht="15" hidden="false" customHeight="true" outlineLevel="0" collapsed="false">
      <c r="G538" s="218"/>
    </row>
    <row r="539" customFormat="false" ht="15" hidden="false" customHeight="true" outlineLevel="0" collapsed="false">
      <c r="G539" s="218"/>
    </row>
    <row r="540" customFormat="false" ht="15" hidden="false" customHeight="true" outlineLevel="0" collapsed="false">
      <c r="G540" s="218"/>
    </row>
    <row r="541" customFormat="false" ht="15" hidden="false" customHeight="true" outlineLevel="0" collapsed="false">
      <c r="G541" s="218"/>
    </row>
    <row r="542" customFormat="false" ht="15" hidden="false" customHeight="true" outlineLevel="0" collapsed="false">
      <c r="G542" s="218"/>
    </row>
    <row r="543" customFormat="false" ht="15" hidden="false" customHeight="true" outlineLevel="0" collapsed="false">
      <c r="G543" s="218"/>
    </row>
    <row r="544" customFormat="false" ht="15" hidden="false" customHeight="true" outlineLevel="0" collapsed="false">
      <c r="G544" s="218"/>
    </row>
    <row r="545" customFormat="false" ht="15" hidden="false" customHeight="true" outlineLevel="0" collapsed="false">
      <c r="G545" s="218"/>
    </row>
    <row r="546" customFormat="false" ht="15" hidden="false" customHeight="true" outlineLevel="0" collapsed="false">
      <c r="G546" s="218"/>
    </row>
    <row r="547" customFormat="false" ht="15" hidden="false" customHeight="true" outlineLevel="0" collapsed="false">
      <c r="G547" s="218"/>
    </row>
    <row r="548" customFormat="false" ht="15" hidden="false" customHeight="true" outlineLevel="0" collapsed="false">
      <c r="G548" s="218"/>
    </row>
    <row r="549" customFormat="false" ht="15" hidden="false" customHeight="true" outlineLevel="0" collapsed="false">
      <c r="G549" s="218"/>
    </row>
    <row r="550" customFormat="false" ht="15" hidden="false" customHeight="true" outlineLevel="0" collapsed="false">
      <c r="G550" s="218"/>
    </row>
    <row r="551" customFormat="false" ht="15" hidden="false" customHeight="true" outlineLevel="0" collapsed="false">
      <c r="G551" s="218"/>
    </row>
    <row r="552" customFormat="false" ht="15" hidden="false" customHeight="true" outlineLevel="0" collapsed="false">
      <c r="G552" s="218"/>
    </row>
    <row r="553" customFormat="false" ht="15" hidden="false" customHeight="true" outlineLevel="0" collapsed="false">
      <c r="G553" s="218"/>
    </row>
    <row r="554" customFormat="false" ht="15" hidden="false" customHeight="true" outlineLevel="0" collapsed="false">
      <c r="G554" s="218"/>
    </row>
    <row r="555" customFormat="false" ht="15" hidden="false" customHeight="true" outlineLevel="0" collapsed="false">
      <c r="G555" s="218"/>
    </row>
    <row r="556" customFormat="false" ht="15" hidden="false" customHeight="true" outlineLevel="0" collapsed="false">
      <c r="G556" s="218"/>
    </row>
    <row r="557" customFormat="false" ht="15" hidden="false" customHeight="true" outlineLevel="0" collapsed="false">
      <c r="G557" s="218"/>
    </row>
    <row r="558" customFormat="false" ht="15" hidden="false" customHeight="true" outlineLevel="0" collapsed="false">
      <c r="G558" s="218"/>
    </row>
    <row r="559" customFormat="false" ht="15" hidden="false" customHeight="true" outlineLevel="0" collapsed="false">
      <c r="G559" s="218"/>
    </row>
    <row r="560" customFormat="false" ht="15" hidden="false" customHeight="true" outlineLevel="0" collapsed="false">
      <c r="G560" s="218"/>
    </row>
    <row r="561" customFormat="false" ht="15" hidden="false" customHeight="true" outlineLevel="0" collapsed="false">
      <c r="G561" s="218"/>
    </row>
    <row r="562" customFormat="false" ht="15" hidden="false" customHeight="true" outlineLevel="0" collapsed="false">
      <c r="G562" s="218"/>
    </row>
    <row r="563" customFormat="false" ht="15" hidden="false" customHeight="true" outlineLevel="0" collapsed="false">
      <c r="G563" s="218"/>
    </row>
    <row r="564" customFormat="false" ht="15" hidden="false" customHeight="true" outlineLevel="0" collapsed="false">
      <c r="G564" s="218"/>
    </row>
    <row r="565" customFormat="false" ht="15" hidden="false" customHeight="true" outlineLevel="0" collapsed="false">
      <c r="G565" s="218"/>
    </row>
    <row r="566" customFormat="false" ht="15" hidden="false" customHeight="true" outlineLevel="0" collapsed="false">
      <c r="G566" s="218"/>
    </row>
    <row r="567" customFormat="false" ht="15" hidden="false" customHeight="true" outlineLevel="0" collapsed="false">
      <c r="G567" s="218"/>
    </row>
    <row r="568" customFormat="false" ht="15" hidden="false" customHeight="true" outlineLevel="0" collapsed="false">
      <c r="G568" s="218"/>
    </row>
    <row r="569" customFormat="false" ht="15" hidden="false" customHeight="true" outlineLevel="0" collapsed="false">
      <c r="G569" s="218"/>
    </row>
    <row r="570" customFormat="false" ht="15" hidden="false" customHeight="true" outlineLevel="0" collapsed="false">
      <c r="G570" s="218"/>
    </row>
    <row r="571" customFormat="false" ht="15" hidden="false" customHeight="true" outlineLevel="0" collapsed="false">
      <c r="G571" s="218"/>
    </row>
    <row r="572" customFormat="false" ht="15" hidden="false" customHeight="true" outlineLevel="0" collapsed="false">
      <c r="G572" s="218"/>
    </row>
    <row r="573" customFormat="false" ht="15" hidden="false" customHeight="true" outlineLevel="0" collapsed="false">
      <c r="G573" s="218"/>
    </row>
    <row r="574" customFormat="false" ht="15" hidden="false" customHeight="true" outlineLevel="0" collapsed="false">
      <c r="G574" s="218"/>
    </row>
    <row r="575" customFormat="false" ht="15" hidden="false" customHeight="true" outlineLevel="0" collapsed="false">
      <c r="G575" s="218"/>
    </row>
    <row r="576" customFormat="false" ht="15" hidden="false" customHeight="true" outlineLevel="0" collapsed="false">
      <c r="G576" s="218"/>
    </row>
    <row r="577" customFormat="false" ht="15" hidden="false" customHeight="true" outlineLevel="0" collapsed="false">
      <c r="G577" s="218"/>
    </row>
    <row r="578" customFormat="false" ht="15" hidden="false" customHeight="true" outlineLevel="0" collapsed="false">
      <c r="G578" s="218"/>
    </row>
    <row r="579" customFormat="false" ht="15" hidden="false" customHeight="true" outlineLevel="0" collapsed="false">
      <c r="G579" s="218"/>
    </row>
    <row r="580" customFormat="false" ht="15" hidden="false" customHeight="true" outlineLevel="0" collapsed="false">
      <c r="G580" s="218"/>
    </row>
    <row r="581" customFormat="false" ht="15" hidden="false" customHeight="true" outlineLevel="0" collapsed="false">
      <c r="G581" s="218"/>
    </row>
    <row r="582" customFormat="false" ht="15" hidden="false" customHeight="true" outlineLevel="0" collapsed="false">
      <c r="G582" s="218"/>
    </row>
    <row r="583" customFormat="false" ht="15" hidden="false" customHeight="true" outlineLevel="0" collapsed="false">
      <c r="G583" s="218"/>
    </row>
    <row r="584" customFormat="false" ht="15" hidden="false" customHeight="true" outlineLevel="0" collapsed="false">
      <c r="G584" s="218"/>
    </row>
    <row r="585" customFormat="false" ht="15" hidden="false" customHeight="true" outlineLevel="0" collapsed="false">
      <c r="G585" s="218"/>
    </row>
    <row r="586" customFormat="false" ht="15" hidden="false" customHeight="true" outlineLevel="0" collapsed="false">
      <c r="G586" s="218"/>
    </row>
    <row r="587" customFormat="false" ht="15" hidden="false" customHeight="true" outlineLevel="0" collapsed="false">
      <c r="G587" s="218"/>
    </row>
    <row r="588" customFormat="false" ht="15" hidden="false" customHeight="true" outlineLevel="0" collapsed="false">
      <c r="G588" s="218"/>
    </row>
    <row r="589" customFormat="false" ht="15" hidden="false" customHeight="true" outlineLevel="0" collapsed="false">
      <c r="G589" s="218"/>
    </row>
    <row r="590" customFormat="false" ht="15" hidden="false" customHeight="true" outlineLevel="0" collapsed="false">
      <c r="G590" s="218"/>
    </row>
    <row r="591" customFormat="false" ht="15" hidden="false" customHeight="true" outlineLevel="0" collapsed="false">
      <c r="G591" s="218"/>
    </row>
    <row r="592" customFormat="false" ht="15" hidden="false" customHeight="true" outlineLevel="0" collapsed="false">
      <c r="G592" s="218"/>
    </row>
    <row r="593" customFormat="false" ht="15" hidden="false" customHeight="true" outlineLevel="0" collapsed="false">
      <c r="G593" s="218"/>
    </row>
    <row r="594" customFormat="false" ht="15" hidden="false" customHeight="true" outlineLevel="0" collapsed="false">
      <c r="G594" s="218"/>
    </row>
    <row r="595" customFormat="false" ht="15" hidden="false" customHeight="true" outlineLevel="0" collapsed="false">
      <c r="G595" s="218"/>
    </row>
    <row r="596" customFormat="false" ht="15" hidden="false" customHeight="true" outlineLevel="0" collapsed="false">
      <c r="G596" s="218"/>
    </row>
    <row r="597" customFormat="false" ht="15" hidden="false" customHeight="true" outlineLevel="0" collapsed="false">
      <c r="G597" s="218"/>
    </row>
    <row r="598" customFormat="false" ht="15" hidden="false" customHeight="true" outlineLevel="0" collapsed="false">
      <c r="G598" s="218"/>
    </row>
    <row r="599" customFormat="false" ht="15" hidden="false" customHeight="true" outlineLevel="0" collapsed="false">
      <c r="G599" s="218"/>
    </row>
    <row r="600" customFormat="false" ht="15" hidden="false" customHeight="true" outlineLevel="0" collapsed="false">
      <c r="G600" s="218"/>
    </row>
    <row r="601" customFormat="false" ht="15" hidden="false" customHeight="true" outlineLevel="0" collapsed="false">
      <c r="G601" s="218"/>
    </row>
    <row r="602" customFormat="false" ht="15" hidden="false" customHeight="true" outlineLevel="0" collapsed="false">
      <c r="G602" s="218"/>
    </row>
    <row r="603" customFormat="false" ht="15" hidden="false" customHeight="true" outlineLevel="0" collapsed="false">
      <c r="G603" s="218"/>
    </row>
    <row r="604" customFormat="false" ht="15" hidden="false" customHeight="true" outlineLevel="0" collapsed="false">
      <c r="G604" s="218"/>
    </row>
    <row r="605" customFormat="false" ht="15" hidden="false" customHeight="true" outlineLevel="0" collapsed="false">
      <c r="G605" s="218"/>
    </row>
    <row r="606" customFormat="false" ht="15" hidden="false" customHeight="true" outlineLevel="0" collapsed="false">
      <c r="G606" s="218"/>
    </row>
    <row r="607" customFormat="false" ht="15" hidden="false" customHeight="true" outlineLevel="0" collapsed="false">
      <c r="G607" s="218"/>
    </row>
    <row r="608" customFormat="false" ht="15" hidden="false" customHeight="true" outlineLevel="0" collapsed="false">
      <c r="G608" s="218"/>
    </row>
    <row r="609" customFormat="false" ht="15" hidden="false" customHeight="true" outlineLevel="0" collapsed="false">
      <c r="G609" s="218"/>
    </row>
    <row r="610" customFormat="false" ht="15" hidden="false" customHeight="true" outlineLevel="0" collapsed="false">
      <c r="G610" s="218"/>
    </row>
    <row r="611" customFormat="false" ht="15" hidden="false" customHeight="true" outlineLevel="0" collapsed="false">
      <c r="G611" s="218"/>
    </row>
    <row r="612" customFormat="false" ht="15" hidden="false" customHeight="true" outlineLevel="0" collapsed="false">
      <c r="G612" s="218"/>
    </row>
    <row r="613" customFormat="false" ht="15" hidden="false" customHeight="true" outlineLevel="0" collapsed="false">
      <c r="G613" s="218"/>
    </row>
    <row r="614" customFormat="false" ht="15" hidden="false" customHeight="true" outlineLevel="0" collapsed="false">
      <c r="G614" s="218"/>
    </row>
    <row r="615" customFormat="false" ht="15" hidden="false" customHeight="true" outlineLevel="0" collapsed="false">
      <c r="G615" s="218"/>
    </row>
    <row r="616" customFormat="false" ht="15" hidden="false" customHeight="true" outlineLevel="0" collapsed="false">
      <c r="G616" s="218"/>
    </row>
    <row r="617" customFormat="false" ht="15" hidden="false" customHeight="true" outlineLevel="0" collapsed="false">
      <c r="G617" s="218"/>
    </row>
    <row r="618" customFormat="false" ht="15" hidden="false" customHeight="true" outlineLevel="0" collapsed="false">
      <c r="G618" s="218"/>
    </row>
    <row r="619" customFormat="false" ht="15" hidden="false" customHeight="true" outlineLevel="0" collapsed="false">
      <c r="G619" s="218"/>
    </row>
    <row r="620" customFormat="false" ht="15" hidden="false" customHeight="true" outlineLevel="0" collapsed="false">
      <c r="G620" s="218"/>
    </row>
    <row r="621" customFormat="false" ht="15" hidden="false" customHeight="true" outlineLevel="0" collapsed="false">
      <c r="G621" s="218"/>
    </row>
    <row r="622" customFormat="false" ht="15" hidden="false" customHeight="true" outlineLevel="0" collapsed="false">
      <c r="G622" s="218"/>
    </row>
    <row r="623" customFormat="false" ht="15" hidden="false" customHeight="true" outlineLevel="0" collapsed="false">
      <c r="G623" s="218"/>
    </row>
    <row r="624" customFormat="false" ht="15" hidden="false" customHeight="true" outlineLevel="0" collapsed="false">
      <c r="G624" s="218"/>
    </row>
    <row r="625" customFormat="false" ht="15" hidden="false" customHeight="true" outlineLevel="0" collapsed="false">
      <c r="G625" s="218"/>
    </row>
    <row r="626" customFormat="false" ht="15" hidden="false" customHeight="true" outlineLevel="0" collapsed="false">
      <c r="G626" s="218"/>
    </row>
    <row r="627" customFormat="false" ht="15" hidden="false" customHeight="true" outlineLevel="0" collapsed="false">
      <c r="G627" s="218"/>
    </row>
    <row r="628" customFormat="false" ht="15" hidden="false" customHeight="true" outlineLevel="0" collapsed="false">
      <c r="G628" s="218"/>
    </row>
    <row r="629" customFormat="false" ht="15" hidden="false" customHeight="true" outlineLevel="0" collapsed="false">
      <c r="G629" s="218"/>
    </row>
    <row r="630" customFormat="false" ht="15" hidden="false" customHeight="true" outlineLevel="0" collapsed="false">
      <c r="G630" s="218"/>
    </row>
    <row r="631" customFormat="false" ht="15" hidden="false" customHeight="true" outlineLevel="0" collapsed="false">
      <c r="G631" s="218"/>
    </row>
    <row r="632" customFormat="false" ht="15" hidden="false" customHeight="true" outlineLevel="0" collapsed="false">
      <c r="G632" s="218"/>
    </row>
    <row r="633" customFormat="false" ht="15" hidden="false" customHeight="true" outlineLevel="0" collapsed="false">
      <c r="G633" s="218"/>
    </row>
    <row r="634" customFormat="false" ht="15" hidden="false" customHeight="true" outlineLevel="0" collapsed="false">
      <c r="G634" s="218"/>
    </row>
    <row r="635" customFormat="false" ht="15" hidden="false" customHeight="true" outlineLevel="0" collapsed="false">
      <c r="G635" s="218"/>
    </row>
    <row r="636" customFormat="false" ht="15" hidden="false" customHeight="true" outlineLevel="0" collapsed="false">
      <c r="G636" s="218"/>
    </row>
    <row r="637" customFormat="false" ht="15" hidden="false" customHeight="true" outlineLevel="0" collapsed="false">
      <c r="G637" s="218"/>
    </row>
    <row r="638" customFormat="false" ht="15" hidden="false" customHeight="true" outlineLevel="0" collapsed="false">
      <c r="G638" s="218"/>
    </row>
    <row r="639" customFormat="false" ht="15" hidden="false" customHeight="true" outlineLevel="0" collapsed="false">
      <c r="G639" s="218"/>
    </row>
    <row r="640" customFormat="false" ht="15" hidden="false" customHeight="true" outlineLevel="0" collapsed="false">
      <c r="G640" s="218"/>
    </row>
    <row r="641" customFormat="false" ht="15" hidden="false" customHeight="true" outlineLevel="0" collapsed="false">
      <c r="G641" s="218"/>
    </row>
    <row r="642" customFormat="false" ht="15" hidden="false" customHeight="true" outlineLevel="0" collapsed="false">
      <c r="G642" s="218"/>
    </row>
    <row r="643" customFormat="false" ht="15" hidden="false" customHeight="true" outlineLevel="0" collapsed="false">
      <c r="G643" s="218"/>
    </row>
    <row r="644" customFormat="false" ht="15" hidden="false" customHeight="true" outlineLevel="0" collapsed="false">
      <c r="G644" s="218"/>
    </row>
    <row r="645" customFormat="false" ht="15" hidden="false" customHeight="true" outlineLevel="0" collapsed="false">
      <c r="G645" s="218"/>
    </row>
    <row r="646" customFormat="false" ht="15" hidden="false" customHeight="true" outlineLevel="0" collapsed="false">
      <c r="G646" s="218"/>
    </row>
    <row r="647" customFormat="false" ht="15" hidden="false" customHeight="true" outlineLevel="0" collapsed="false">
      <c r="G647" s="218"/>
    </row>
    <row r="648" customFormat="false" ht="15" hidden="false" customHeight="true" outlineLevel="0" collapsed="false">
      <c r="G648" s="218"/>
    </row>
    <row r="649" customFormat="false" ht="15" hidden="false" customHeight="true" outlineLevel="0" collapsed="false">
      <c r="G649" s="218"/>
    </row>
    <row r="650" customFormat="false" ht="15" hidden="false" customHeight="true" outlineLevel="0" collapsed="false">
      <c r="G650" s="218"/>
    </row>
    <row r="651" customFormat="false" ht="15" hidden="false" customHeight="true" outlineLevel="0" collapsed="false">
      <c r="G651" s="218"/>
    </row>
    <row r="652" customFormat="false" ht="15" hidden="false" customHeight="true" outlineLevel="0" collapsed="false">
      <c r="G652" s="218"/>
    </row>
    <row r="653" customFormat="false" ht="15" hidden="false" customHeight="true" outlineLevel="0" collapsed="false">
      <c r="G653" s="218"/>
    </row>
    <row r="654" customFormat="false" ht="15" hidden="false" customHeight="true" outlineLevel="0" collapsed="false">
      <c r="G654" s="218"/>
    </row>
    <row r="655" customFormat="false" ht="15" hidden="false" customHeight="true" outlineLevel="0" collapsed="false">
      <c r="G655" s="218"/>
    </row>
    <row r="656" customFormat="false" ht="15" hidden="false" customHeight="true" outlineLevel="0" collapsed="false">
      <c r="G656" s="218"/>
    </row>
    <row r="657" customFormat="false" ht="15" hidden="false" customHeight="true" outlineLevel="0" collapsed="false">
      <c r="G657" s="218"/>
    </row>
    <row r="658" customFormat="false" ht="15" hidden="false" customHeight="true" outlineLevel="0" collapsed="false">
      <c r="G658" s="218"/>
    </row>
    <row r="659" customFormat="false" ht="15" hidden="false" customHeight="true" outlineLevel="0" collapsed="false">
      <c r="G659" s="218"/>
    </row>
    <row r="660" customFormat="false" ht="15" hidden="false" customHeight="true" outlineLevel="0" collapsed="false">
      <c r="G660" s="218"/>
    </row>
    <row r="661" customFormat="false" ht="15" hidden="false" customHeight="true" outlineLevel="0" collapsed="false">
      <c r="G661" s="218"/>
    </row>
    <row r="662" customFormat="false" ht="15" hidden="false" customHeight="true" outlineLevel="0" collapsed="false">
      <c r="G662" s="218"/>
    </row>
    <row r="663" customFormat="false" ht="15" hidden="false" customHeight="true" outlineLevel="0" collapsed="false">
      <c r="G663" s="218"/>
    </row>
    <row r="664" customFormat="false" ht="15" hidden="false" customHeight="true" outlineLevel="0" collapsed="false">
      <c r="G664" s="218"/>
    </row>
    <row r="665" customFormat="false" ht="15" hidden="false" customHeight="true" outlineLevel="0" collapsed="false">
      <c r="G665" s="218"/>
    </row>
    <row r="666" customFormat="false" ht="15" hidden="false" customHeight="true" outlineLevel="0" collapsed="false">
      <c r="G666" s="218"/>
    </row>
    <row r="667" customFormat="false" ht="15" hidden="false" customHeight="true" outlineLevel="0" collapsed="false">
      <c r="G667" s="218"/>
    </row>
    <row r="668" customFormat="false" ht="15" hidden="false" customHeight="true" outlineLevel="0" collapsed="false">
      <c r="G668" s="218"/>
    </row>
    <row r="669" customFormat="false" ht="15" hidden="false" customHeight="true" outlineLevel="0" collapsed="false">
      <c r="G669" s="218"/>
    </row>
    <row r="670" customFormat="false" ht="15" hidden="false" customHeight="true" outlineLevel="0" collapsed="false">
      <c r="G670" s="218"/>
    </row>
    <row r="671" customFormat="false" ht="15" hidden="false" customHeight="true" outlineLevel="0" collapsed="false">
      <c r="G671" s="218"/>
    </row>
    <row r="672" customFormat="false" ht="15" hidden="false" customHeight="true" outlineLevel="0" collapsed="false">
      <c r="G672" s="218"/>
    </row>
    <row r="673" customFormat="false" ht="15" hidden="false" customHeight="true" outlineLevel="0" collapsed="false">
      <c r="G673" s="218"/>
    </row>
    <row r="674" customFormat="false" ht="15" hidden="false" customHeight="true" outlineLevel="0" collapsed="false">
      <c r="G674" s="218"/>
    </row>
    <row r="675" customFormat="false" ht="15" hidden="false" customHeight="true" outlineLevel="0" collapsed="false">
      <c r="G675" s="218"/>
    </row>
    <row r="676" customFormat="false" ht="15" hidden="false" customHeight="true" outlineLevel="0" collapsed="false">
      <c r="G676" s="218"/>
    </row>
    <row r="677" customFormat="false" ht="15" hidden="false" customHeight="true" outlineLevel="0" collapsed="false">
      <c r="G677" s="218"/>
    </row>
    <row r="678" customFormat="false" ht="15" hidden="false" customHeight="true" outlineLevel="0" collapsed="false">
      <c r="G678" s="218"/>
    </row>
    <row r="679" customFormat="false" ht="15" hidden="false" customHeight="true" outlineLevel="0" collapsed="false">
      <c r="G679" s="218"/>
    </row>
    <row r="680" customFormat="false" ht="15" hidden="false" customHeight="true" outlineLevel="0" collapsed="false">
      <c r="G680" s="218"/>
    </row>
    <row r="681" customFormat="false" ht="15" hidden="false" customHeight="true" outlineLevel="0" collapsed="false">
      <c r="G681" s="218"/>
    </row>
    <row r="682" customFormat="false" ht="15" hidden="false" customHeight="true" outlineLevel="0" collapsed="false">
      <c r="G682" s="218"/>
    </row>
    <row r="683" customFormat="false" ht="15" hidden="false" customHeight="true" outlineLevel="0" collapsed="false">
      <c r="G683" s="218"/>
    </row>
    <row r="684" customFormat="false" ht="15" hidden="false" customHeight="true" outlineLevel="0" collapsed="false">
      <c r="G684" s="218"/>
    </row>
    <row r="685" customFormat="false" ht="15" hidden="false" customHeight="true" outlineLevel="0" collapsed="false">
      <c r="G685" s="218"/>
    </row>
    <row r="686" customFormat="false" ht="15" hidden="false" customHeight="true" outlineLevel="0" collapsed="false">
      <c r="G686" s="218"/>
    </row>
    <row r="687" customFormat="false" ht="15" hidden="false" customHeight="true" outlineLevel="0" collapsed="false">
      <c r="G687" s="218"/>
    </row>
    <row r="688" customFormat="false" ht="15" hidden="false" customHeight="true" outlineLevel="0" collapsed="false">
      <c r="G688" s="218"/>
    </row>
    <row r="689" customFormat="false" ht="15" hidden="false" customHeight="true" outlineLevel="0" collapsed="false">
      <c r="G689" s="218"/>
    </row>
    <row r="690" customFormat="false" ht="15" hidden="false" customHeight="true" outlineLevel="0" collapsed="false">
      <c r="G690" s="218"/>
    </row>
    <row r="691" customFormat="false" ht="15" hidden="false" customHeight="true" outlineLevel="0" collapsed="false">
      <c r="G691" s="218"/>
    </row>
    <row r="692" customFormat="false" ht="15" hidden="false" customHeight="true" outlineLevel="0" collapsed="false">
      <c r="G692" s="218"/>
    </row>
    <row r="693" customFormat="false" ht="15" hidden="false" customHeight="true" outlineLevel="0" collapsed="false">
      <c r="G693" s="218"/>
    </row>
    <row r="694" customFormat="false" ht="15" hidden="false" customHeight="true" outlineLevel="0" collapsed="false">
      <c r="G694" s="218"/>
    </row>
    <row r="695" customFormat="false" ht="15" hidden="false" customHeight="true" outlineLevel="0" collapsed="false">
      <c r="G695" s="218"/>
    </row>
    <row r="696" customFormat="false" ht="15" hidden="false" customHeight="true" outlineLevel="0" collapsed="false">
      <c r="G696" s="218"/>
    </row>
    <row r="697" customFormat="false" ht="15" hidden="false" customHeight="true" outlineLevel="0" collapsed="false">
      <c r="G697" s="218"/>
    </row>
    <row r="698" customFormat="false" ht="15" hidden="false" customHeight="true" outlineLevel="0" collapsed="false">
      <c r="G698" s="218"/>
    </row>
    <row r="699" customFormat="false" ht="15" hidden="false" customHeight="true" outlineLevel="0" collapsed="false">
      <c r="G699" s="218"/>
    </row>
    <row r="700" customFormat="false" ht="15" hidden="false" customHeight="true" outlineLevel="0" collapsed="false">
      <c r="G700" s="218"/>
    </row>
    <row r="701" customFormat="false" ht="15" hidden="false" customHeight="true" outlineLevel="0" collapsed="false">
      <c r="G701" s="218"/>
    </row>
    <row r="702" customFormat="false" ht="15" hidden="false" customHeight="true" outlineLevel="0" collapsed="false">
      <c r="G702" s="218"/>
    </row>
    <row r="703" customFormat="false" ht="15" hidden="false" customHeight="true" outlineLevel="0" collapsed="false">
      <c r="G703" s="218"/>
    </row>
    <row r="704" customFormat="false" ht="15" hidden="false" customHeight="true" outlineLevel="0" collapsed="false">
      <c r="G704" s="218"/>
    </row>
    <row r="705" customFormat="false" ht="15" hidden="false" customHeight="true" outlineLevel="0" collapsed="false">
      <c r="G705" s="218"/>
    </row>
    <row r="706" customFormat="false" ht="15" hidden="false" customHeight="true" outlineLevel="0" collapsed="false">
      <c r="G706" s="218"/>
    </row>
    <row r="707" customFormat="false" ht="15" hidden="false" customHeight="true" outlineLevel="0" collapsed="false">
      <c r="G707" s="218"/>
    </row>
    <row r="708" customFormat="false" ht="15" hidden="false" customHeight="true" outlineLevel="0" collapsed="false">
      <c r="G708" s="218"/>
    </row>
    <row r="709" customFormat="false" ht="15" hidden="false" customHeight="true" outlineLevel="0" collapsed="false">
      <c r="G709" s="218"/>
    </row>
    <row r="710" customFormat="false" ht="15" hidden="false" customHeight="true" outlineLevel="0" collapsed="false">
      <c r="G710" s="218"/>
    </row>
    <row r="711" customFormat="false" ht="15" hidden="false" customHeight="true" outlineLevel="0" collapsed="false">
      <c r="G711" s="218"/>
    </row>
    <row r="712" customFormat="false" ht="15" hidden="false" customHeight="true" outlineLevel="0" collapsed="false">
      <c r="G712" s="218"/>
    </row>
    <row r="713" customFormat="false" ht="15" hidden="false" customHeight="true" outlineLevel="0" collapsed="false">
      <c r="G713" s="218"/>
    </row>
    <row r="714" customFormat="false" ht="15" hidden="false" customHeight="true" outlineLevel="0" collapsed="false">
      <c r="G714" s="218"/>
    </row>
    <row r="715" customFormat="false" ht="15" hidden="false" customHeight="true" outlineLevel="0" collapsed="false">
      <c r="G715" s="218"/>
    </row>
    <row r="716" customFormat="false" ht="15" hidden="false" customHeight="true" outlineLevel="0" collapsed="false">
      <c r="G716" s="218"/>
    </row>
    <row r="717" customFormat="false" ht="15" hidden="false" customHeight="true" outlineLevel="0" collapsed="false">
      <c r="G717" s="218"/>
    </row>
    <row r="718" customFormat="false" ht="15" hidden="false" customHeight="true" outlineLevel="0" collapsed="false">
      <c r="G718" s="218"/>
    </row>
    <row r="719" customFormat="false" ht="15" hidden="false" customHeight="true" outlineLevel="0" collapsed="false">
      <c r="G719" s="218"/>
    </row>
    <row r="720" customFormat="false" ht="15" hidden="false" customHeight="true" outlineLevel="0" collapsed="false">
      <c r="G720" s="218"/>
    </row>
    <row r="721" customFormat="false" ht="15" hidden="false" customHeight="true" outlineLevel="0" collapsed="false">
      <c r="G721" s="218"/>
    </row>
    <row r="722" customFormat="false" ht="15" hidden="false" customHeight="true" outlineLevel="0" collapsed="false">
      <c r="G722" s="218"/>
    </row>
    <row r="723" customFormat="false" ht="15" hidden="false" customHeight="true" outlineLevel="0" collapsed="false">
      <c r="G723" s="218"/>
    </row>
    <row r="724" customFormat="false" ht="15" hidden="false" customHeight="true" outlineLevel="0" collapsed="false">
      <c r="G724" s="218"/>
    </row>
    <row r="725" customFormat="false" ht="15" hidden="false" customHeight="true" outlineLevel="0" collapsed="false">
      <c r="G725" s="218"/>
    </row>
    <row r="726" customFormat="false" ht="15" hidden="false" customHeight="true" outlineLevel="0" collapsed="false">
      <c r="G726" s="218"/>
    </row>
    <row r="727" customFormat="false" ht="15" hidden="false" customHeight="true" outlineLevel="0" collapsed="false">
      <c r="G727" s="218"/>
    </row>
    <row r="728" customFormat="false" ht="15" hidden="false" customHeight="true" outlineLevel="0" collapsed="false">
      <c r="G728" s="218"/>
    </row>
    <row r="729" customFormat="false" ht="15" hidden="false" customHeight="true" outlineLevel="0" collapsed="false">
      <c r="G729" s="218"/>
    </row>
    <row r="730" customFormat="false" ht="15" hidden="false" customHeight="true" outlineLevel="0" collapsed="false">
      <c r="G730" s="218"/>
    </row>
    <row r="731" customFormat="false" ht="15" hidden="false" customHeight="true" outlineLevel="0" collapsed="false">
      <c r="G731" s="218"/>
    </row>
    <row r="732" customFormat="false" ht="15" hidden="false" customHeight="true" outlineLevel="0" collapsed="false">
      <c r="G732" s="218"/>
    </row>
    <row r="733" customFormat="false" ht="15" hidden="false" customHeight="true" outlineLevel="0" collapsed="false">
      <c r="G733" s="218"/>
    </row>
    <row r="734" customFormat="false" ht="15" hidden="false" customHeight="true" outlineLevel="0" collapsed="false">
      <c r="G734" s="218"/>
    </row>
    <row r="735" customFormat="false" ht="15" hidden="false" customHeight="true" outlineLevel="0" collapsed="false">
      <c r="G735" s="218"/>
    </row>
    <row r="736" customFormat="false" ht="15" hidden="false" customHeight="true" outlineLevel="0" collapsed="false">
      <c r="G736" s="218"/>
    </row>
    <row r="737" customFormat="false" ht="15" hidden="false" customHeight="true" outlineLevel="0" collapsed="false">
      <c r="G737" s="218"/>
    </row>
    <row r="738" customFormat="false" ht="15" hidden="false" customHeight="true" outlineLevel="0" collapsed="false">
      <c r="G738" s="218"/>
    </row>
    <row r="739" customFormat="false" ht="15" hidden="false" customHeight="true" outlineLevel="0" collapsed="false">
      <c r="G739" s="218"/>
    </row>
    <row r="740" customFormat="false" ht="15" hidden="false" customHeight="true" outlineLevel="0" collapsed="false">
      <c r="G740" s="218"/>
    </row>
    <row r="741" customFormat="false" ht="15" hidden="false" customHeight="true" outlineLevel="0" collapsed="false">
      <c r="G741" s="218"/>
    </row>
    <row r="742" customFormat="false" ht="15" hidden="false" customHeight="true" outlineLevel="0" collapsed="false">
      <c r="G742" s="218"/>
    </row>
    <row r="743" customFormat="false" ht="15" hidden="false" customHeight="true" outlineLevel="0" collapsed="false">
      <c r="G743" s="218"/>
    </row>
    <row r="744" customFormat="false" ht="15" hidden="false" customHeight="true" outlineLevel="0" collapsed="false">
      <c r="G744" s="218"/>
    </row>
    <row r="745" customFormat="false" ht="15" hidden="false" customHeight="true" outlineLevel="0" collapsed="false">
      <c r="G745" s="218"/>
    </row>
    <row r="746" customFormat="false" ht="15" hidden="false" customHeight="true" outlineLevel="0" collapsed="false">
      <c r="G746" s="218"/>
    </row>
    <row r="747" customFormat="false" ht="15" hidden="false" customHeight="true" outlineLevel="0" collapsed="false">
      <c r="G747" s="218"/>
    </row>
    <row r="748" customFormat="false" ht="15" hidden="false" customHeight="true" outlineLevel="0" collapsed="false">
      <c r="G748" s="218"/>
    </row>
    <row r="749" customFormat="false" ht="15" hidden="false" customHeight="true" outlineLevel="0" collapsed="false">
      <c r="G749" s="218"/>
    </row>
    <row r="750" customFormat="false" ht="15" hidden="false" customHeight="true" outlineLevel="0" collapsed="false">
      <c r="G750" s="218"/>
    </row>
    <row r="751" customFormat="false" ht="15" hidden="false" customHeight="true" outlineLevel="0" collapsed="false">
      <c r="G751" s="218"/>
    </row>
    <row r="752" customFormat="false" ht="15" hidden="false" customHeight="true" outlineLevel="0" collapsed="false">
      <c r="G752" s="218"/>
    </row>
    <row r="753" customFormat="false" ht="15" hidden="false" customHeight="true" outlineLevel="0" collapsed="false">
      <c r="G753" s="218"/>
    </row>
    <row r="754" customFormat="false" ht="15" hidden="false" customHeight="true" outlineLevel="0" collapsed="false">
      <c r="G754" s="218"/>
    </row>
    <row r="755" customFormat="false" ht="15" hidden="false" customHeight="true" outlineLevel="0" collapsed="false">
      <c r="G755" s="218"/>
    </row>
    <row r="756" customFormat="false" ht="15" hidden="false" customHeight="true" outlineLevel="0" collapsed="false">
      <c r="G756" s="218"/>
    </row>
    <row r="757" customFormat="false" ht="15" hidden="false" customHeight="true" outlineLevel="0" collapsed="false">
      <c r="G757" s="218"/>
    </row>
    <row r="758" customFormat="false" ht="15" hidden="false" customHeight="true" outlineLevel="0" collapsed="false">
      <c r="G758" s="218"/>
    </row>
    <row r="759" customFormat="false" ht="15" hidden="false" customHeight="true" outlineLevel="0" collapsed="false">
      <c r="G759" s="218"/>
    </row>
    <row r="760" customFormat="false" ht="15" hidden="false" customHeight="true" outlineLevel="0" collapsed="false">
      <c r="G760" s="218"/>
    </row>
    <row r="761" customFormat="false" ht="15" hidden="false" customHeight="true" outlineLevel="0" collapsed="false">
      <c r="G761" s="218"/>
    </row>
    <row r="762" customFormat="false" ht="15" hidden="false" customHeight="true" outlineLevel="0" collapsed="false">
      <c r="G762" s="218"/>
    </row>
    <row r="763" customFormat="false" ht="15" hidden="false" customHeight="true" outlineLevel="0" collapsed="false">
      <c r="G763" s="218"/>
    </row>
    <row r="764" customFormat="false" ht="15" hidden="false" customHeight="true" outlineLevel="0" collapsed="false">
      <c r="G764" s="218"/>
    </row>
    <row r="765" customFormat="false" ht="15" hidden="false" customHeight="true" outlineLevel="0" collapsed="false">
      <c r="G765" s="218"/>
    </row>
    <row r="766" customFormat="false" ht="15" hidden="false" customHeight="true" outlineLevel="0" collapsed="false">
      <c r="G766" s="218"/>
    </row>
    <row r="767" customFormat="false" ht="15" hidden="false" customHeight="true" outlineLevel="0" collapsed="false">
      <c r="G767" s="218"/>
    </row>
    <row r="768" customFormat="false" ht="15" hidden="false" customHeight="true" outlineLevel="0" collapsed="false">
      <c r="G768" s="218"/>
    </row>
    <row r="769" customFormat="false" ht="15" hidden="false" customHeight="true" outlineLevel="0" collapsed="false">
      <c r="G769" s="218"/>
    </row>
    <row r="770" customFormat="false" ht="15" hidden="false" customHeight="true" outlineLevel="0" collapsed="false">
      <c r="G770" s="218"/>
    </row>
    <row r="771" customFormat="false" ht="15" hidden="false" customHeight="true" outlineLevel="0" collapsed="false">
      <c r="G771" s="218"/>
    </row>
    <row r="772" customFormat="false" ht="15" hidden="false" customHeight="true" outlineLevel="0" collapsed="false">
      <c r="G772" s="218"/>
    </row>
    <row r="773" customFormat="false" ht="15" hidden="false" customHeight="true" outlineLevel="0" collapsed="false">
      <c r="G773" s="218"/>
    </row>
    <row r="774" customFormat="false" ht="15" hidden="false" customHeight="true" outlineLevel="0" collapsed="false">
      <c r="G774" s="218"/>
    </row>
    <row r="775" customFormat="false" ht="15" hidden="false" customHeight="true" outlineLevel="0" collapsed="false">
      <c r="G775" s="218"/>
    </row>
    <row r="776" customFormat="false" ht="15" hidden="false" customHeight="true" outlineLevel="0" collapsed="false">
      <c r="G776" s="218"/>
    </row>
    <row r="777" customFormat="false" ht="15" hidden="false" customHeight="true" outlineLevel="0" collapsed="false">
      <c r="G777" s="218"/>
    </row>
    <row r="778" customFormat="false" ht="15" hidden="false" customHeight="true" outlineLevel="0" collapsed="false">
      <c r="G778" s="218"/>
    </row>
    <row r="779" customFormat="false" ht="15" hidden="false" customHeight="true" outlineLevel="0" collapsed="false">
      <c r="G779" s="218"/>
    </row>
    <row r="780" customFormat="false" ht="15" hidden="false" customHeight="true" outlineLevel="0" collapsed="false">
      <c r="G780" s="218"/>
    </row>
    <row r="781" customFormat="false" ht="15" hidden="false" customHeight="true" outlineLevel="0" collapsed="false">
      <c r="G781" s="218"/>
    </row>
    <row r="782" customFormat="false" ht="15" hidden="false" customHeight="true" outlineLevel="0" collapsed="false">
      <c r="G782" s="218"/>
    </row>
    <row r="783" customFormat="false" ht="15" hidden="false" customHeight="true" outlineLevel="0" collapsed="false">
      <c r="G783" s="218"/>
    </row>
    <row r="784" customFormat="false" ht="15" hidden="false" customHeight="true" outlineLevel="0" collapsed="false">
      <c r="G784" s="218"/>
    </row>
    <row r="785" customFormat="false" ht="15" hidden="false" customHeight="true" outlineLevel="0" collapsed="false">
      <c r="G785" s="218"/>
    </row>
    <row r="786" customFormat="false" ht="15" hidden="false" customHeight="true" outlineLevel="0" collapsed="false">
      <c r="G786" s="218"/>
    </row>
    <row r="787" customFormat="false" ht="15" hidden="false" customHeight="true" outlineLevel="0" collapsed="false">
      <c r="G787" s="218"/>
    </row>
    <row r="788" customFormat="false" ht="15" hidden="false" customHeight="true" outlineLevel="0" collapsed="false">
      <c r="G788" s="218"/>
    </row>
    <row r="789" customFormat="false" ht="15" hidden="false" customHeight="true" outlineLevel="0" collapsed="false">
      <c r="G789" s="218"/>
    </row>
    <row r="790" customFormat="false" ht="15" hidden="false" customHeight="true" outlineLevel="0" collapsed="false">
      <c r="G790" s="218"/>
    </row>
    <row r="791" customFormat="false" ht="15" hidden="false" customHeight="true" outlineLevel="0" collapsed="false">
      <c r="G791" s="218"/>
    </row>
    <row r="792" customFormat="false" ht="15" hidden="false" customHeight="true" outlineLevel="0" collapsed="false">
      <c r="G792" s="218"/>
    </row>
    <row r="793" customFormat="false" ht="15" hidden="false" customHeight="true" outlineLevel="0" collapsed="false">
      <c r="G793" s="218"/>
    </row>
    <row r="794" customFormat="false" ht="15" hidden="false" customHeight="true" outlineLevel="0" collapsed="false">
      <c r="G794" s="218"/>
    </row>
    <row r="795" customFormat="false" ht="15" hidden="false" customHeight="true" outlineLevel="0" collapsed="false">
      <c r="G795" s="218"/>
    </row>
    <row r="796" customFormat="false" ht="15" hidden="false" customHeight="true" outlineLevel="0" collapsed="false">
      <c r="G796" s="218"/>
    </row>
    <row r="797" customFormat="false" ht="15" hidden="false" customHeight="true" outlineLevel="0" collapsed="false">
      <c r="G797" s="218"/>
    </row>
    <row r="798" customFormat="false" ht="15" hidden="false" customHeight="true" outlineLevel="0" collapsed="false">
      <c r="G798" s="218"/>
    </row>
    <row r="799" customFormat="false" ht="15" hidden="false" customHeight="true" outlineLevel="0" collapsed="false">
      <c r="G799" s="218"/>
    </row>
    <row r="800" customFormat="false" ht="15" hidden="false" customHeight="true" outlineLevel="0" collapsed="false">
      <c r="G800" s="218"/>
    </row>
    <row r="801" customFormat="false" ht="15" hidden="false" customHeight="true" outlineLevel="0" collapsed="false">
      <c r="G801" s="218"/>
    </row>
    <row r="802" customFormat="false" ht="15" hidden="false" customHeight="true" outlineLevel="0" collapsed="false">
      <c r="G802" s="218"/>
    </row>
    <row r="803" customFormat="false" ht="15" hidden="false" customHeight="true" outlineLevel="0" collapsed="false">
      <c r="G803" s="218"/>
    </row>
    <row r="804" customFormat="false" ht="15" hidden="false" customHeight="true" outlineLevel="0" collapsed="false">
      <c r="G804" s="218"/>
    </row>
    <row r="805" customFormat="false" ht="15" hidden="false" customHeight="true" outlineLevel="0" collapsed="false">
      <c r="G805" s="218"/>
    </row>
    <row r="806" customFormat="false" ht="15" hidden="false" customHeight="true" outlineLevel="0" collapsed="false">
      <c r="G806" s="218"/>
    </row>
    <row r="807" customFormat="false" ht="15" hidden="false" customHeight="true" outlineLevel="0" collapsed="false">
      <c r="G807" s="218"/>
    </row>
    <row r="808" customFormat="false" ht="15" hidden="false" customHeight="true" outlineLevel="0" collapsed="false">
      <c r="G808" s="218"/>
    </row>
    <row r="809" customFormat="false" ht="15" hidden="false" customHeight="true" outlineLevel="0" collapsed="false">
      <c r="G809" s="218"/>
    </row>
    <row r="810" customFormat="false" ht="15" hidden="false" customHeight="true" outlineLevel="0" collapsed="false">
      <c r="G810" s="218"/>
    </row>
    <row r="811" customFormat="false" ht="15" hidden="false" customHeight="true" outlineLevel="0" collapsed="false">
      <c r="G811" s="218"/>
    </row>
    <row r="812" customFormat="false" ht="15" hidden="false" customHeight="true" outlineLevel="0" collapsed="false">
      <c r="G812" s="218"/>
    </row>
    <row r="813" customFormat="false" ht="15" hidden="false" customHeight="true" outlineLevel="0" collapsed="false">
      <c r="G813" s="218"/>
    </row>
    <row r="814" customFormat="false" ht="15" hidden="false" customHeight="true" outlineLevel="0" collapsed="false">
      <c r="G814" s="218"/>
    </row>
    <row r="815" customFormat="false" ht="15" hidden="false" customHeight="true" outlineLevel="0" collapsed="false">
      <c r="G815" s="218"/>
    </row>
    <row r="816" customFormat="false" ht="15" hidden="false" customHeight="true" outlineLevel="0" collapsed="false">
      <c r="G816" s="218"/>
    </row>
    <row r="817" customFormat="false" ht="15" hidden="false" customHeight="true" outlineLevel="0" collapsed="false">
      <c r="G817" s="218"/>
    </row>
    <row r="818" customFormat="false" ht="15" hidden="false" customHeight="true" outlineLevel="0" collapsed="false">
      <c r="G818" s="218"/>
    </row>
    <row r="819" customFormat="false" ht="15" hidden="false" customHeight="true" outlineLevel="0" collapsed="false">
      <c r="G819" s="218"/>
    </row>
    <row r="820" customFormat="false" ht="15" hidden="false" customHeight="true" outlineLevel="0" collapsed="false">
      <c r="G820" s="218"/>
    </row>
    <row r="821" customFormat="false" ht="15" hidden="false" customHeight="true" outlineLevel="0" collapsed="false">
      <c r="G821" s="218"/>
    </row>
    <row r="822" customFormat="false" ht="15" hidden="false" customHeight="true" outlineLevel="0" collapsed="false">
      <c r="G822" s="218"/>
    </row>
    <row r="823" customFormat="false" ht="15" hidden="false" customHeight="true" outlineLevel="0" collapsed="false">
      <c r="G823" s="218"/>
    </row>
    <row r="824" customFormat="false" ht="15" hidden="false" customHeight="true" outlineLevel="0" collapsed="false">
      <c r="G824" s="218"/>
    </row>
    <row r="825" customFormat="false" ht="15" hidden="false" customHeight="true" outlineLevel="0" collapsed="false">
      <c r="G825" s="218"/>
    </row>
    <row r="826" customFormat="false" ht="15" hidden="false" customHeight="true" outlineLevel="0" collapsed="false">
      <c r="G826" s="218"/>
    </row>
    <row r="827" customFormat="false" ht="15" hidden="false" customHeight="true" outlineLevel="0" collapsed="false">
      <c r="G827" s="218"/>
    </row>
    <row r="828" customFormat="false" ht="15" hidden="false" customHeight="true" outlineLevel="0" collapsed="false">
      <c r="G828" s="218"/>
    </row>
    <row r="829" customFormat="false" ht="15" hidden="false" customHeight="true" outlineLevel="0" collapsed="false">
      <c r="G829" s="218"/>
    </row>
    <row r="830" customFormat="false" ht="15" hidden="false" customHeight="true" outlineLevel="0" collapsed="false">
      <c r="G830" s="218"/>
    </row>
    <row r="831" customFormat="false" ht="15" hidden="false" customHeight="true" outlineLevel="0" collapsed="false">
      <c r="G831" s="218"/>
    </row>
    <row r="832" customFormat="false" ht="15" hidden="false" customHeight="true" outlineLevel="0" collapsed="false">
      <c r="G832" s="218"/>
    </row>
    <row r="833" customFormat="false" ht="15" hidden="false" customHeight="true" outlineLevel="0" collapsed="false">
      <c r="G833" s="218"/>
    </row>
    <row r="834" customFormat="false" ht="15" hidden="false" customHeight="true" outlineLevel="0" collapsed="false">
      <c r="G834" s="218"/>
    </row>
    <row r="835" customFormat="false" ht="15" hidden="false" customHeight="true" outlineLevel="0" collapsed="false">
      <c r="G835" s="218"/>
    </row>
    <row r="836" customFormat="false" ht="15" hidden="false" customHeight="true" outlineLevel="0" collapsed="false">
      <c r="G836" s="218"/>
    </row>
    <row r="837" customFormat="false" ht="15" hidden="false" customHeight="true" outlineLevel="0" collapsed="false">
      <c r="G837" s="218"/>
    </row>
    <row r="838" customFormat="false" ht="15" hidden="false" customHeight="true" outlineLevel="0" collapsed="false">
      <c r="G838" s="218"/>
    </row>
    <row r="839" customFormat="false" ht="15" hidden="false" customHeight="true" outlineLevel="0" collapsed="false">
      <c r="G839" s="218"/>
    </row>
    <row r="840" customFormat="false" ht="15" hidden="false" customHeight="true" outlineLevel="0" collapsed="false">
      <c r="G840" s="218"/>
    </row>
    <row r="841" customFormat="false" ht="15" hidden="false" customHeight="true" outlineLevel="0" collapsed="false">
      <c r="G841" s="218"/>
    </row>
    <row r="842" customFormat="false" ht="15" hidden="false" customHeight="true" outlineLevel="0" collapsed="false">
      <c r="G842" s="218"/>
    </row>
    <row r="843" customFormat="false" ht="15" hidden="false" customHeight="true" outlineLevel="0" collapsed="false">
      <c r="G843" s="218"/>
    </row>
    <row r="844" customFormat="false" ht="15" hidden="false" customHeight="true" outlineLevel="0" collapsed="false">
      <c r="G844" s="218"/>
    </row>
    <row r="845" customFormat="false" ht="15" hidden="false" customHeight="true" outlineLevel="0" collapsed="false">
      <c r="G845" s="218"/>
    </row>
    <row r="846" customFormat="false" ht="15" hidden="false" customHeight="true" outlineLevel="0" collapsed="false">
      <c r="G846" s="218"/>
    </row>
    <row r="847" customFormat="false" ht="15" hidden="false" customHeight="true" outlineLevel="0" collapsed="false">
      <c r="G847" s="218"/>
    </row>
    <row r="848" customFormat="false" ht="15" hidden="false" customHeight="true" outlineLevel="0" collapsed="false">
      <c r="G848" s="218"/>
    </row>
    <row r="849" customFormat="false" ht="15" hidden="false" customHeight="true" outlineLevel="0" collapsed="false">
      <c r="G849" s="218"/>
    </row>
    <row r="850" customFormat="false" ht="15" hidden="false" customHeight="true" outlineLevel="0" collapsed="false">
      <c r="G850" s="218"/>
    </row>
    <row r="851" customFormat="false" ht="15" hidden="false" customHeight="true" outlineLevel="0" collapsed="false">
      <c r="G851" s="218"/>
    </row>
    <row r="852" customFormat="false" ht="15" hidden="false" customHeight="true" outlineLevel="0" collapsed="false">
      <c r="G852" s="218"/>
    </row>
    <row r="853" customFormat="false" ht="15" hidden="false" customHeight="true" outlineLevel="0" collapsed="false">
      <c r="G853" s="218"/>
    </row>
    <row r="854" customFormat="false" ht="15" hidden="false" customHeight="true" outlineLevel="0" collapsed="false">
      <c r="G854" s="218"/>
    </row>
    <row r="855" customFormat="false" ht="15" hidden="false" customHeight="true" outlineLevel="0" collapsed="false">
      <c r="G855" s="218"/>
    </row>
    <row r="856" customFormat="false" ht="15" hidden="false" customHeight="true" outlineLevel="0" collapsed="false">
      <c r="G856" s="218"/>
    </row>
    <row r="857" customFormat="false" ht="15" hidden="false" customHeight="true" outlineLevel="0" collapsed="false">
      <c r="G857" s="218"/>
    </row>
    <row r="858" customFormat="false" ht="15" hidden="false" customHeight="true" outlineLevel="0" collapsed="false">
      <c r="G858" s="218"/>
    </row>
    <row r="859" customFormat="false" ht="15" hidden="false" customHeight="true" outlineLevel="0" collapsed="false">
      <c r="G859" s="218"/>
    </row>
    <row r="860" customFormat="false" ht="15" hidden="false" customHeight="true" outlineLevel="0" collapsed="false">
      <c r="G860" s="218"/>
    </row>
    <row r="861" customFormat="false" ht="15" hidden="false" customHeight="true" outlineLevel="0" collapsed="false">
      <c r="G861" s="218"/>
    </row>
    <row r="862" customFormat="false" ht="15" hidden="false" customHeight="true" outlineLevel="0" collapsed="false">
      <c r="G862" s="218"/>
    </row>
    <row r="863" customFormat="false" ht="15" hidden="false" customHeight="true" outlineLevel="0" collapsed="false">
      <c r="G863" s="218"/>
    </row>
    <row r="864" customFormat="false" ht="15" hidden="false" customHeight="true" outlineLevel="0" collapsed="false">
      <c r="G864" s="218"/>
    </row>
    <row r="865" customFormat="false" ht="15" hidden="false" customHeight="true" outlineLevel="0" collapsed="false">
      <c r="G865" s="218"/>
    </row>
    <row r="866" customFormat="false" ht="15" hidden="false" customHeight="true" outlineLevel="0" collapsed="false">
      <c r="G866" s="218"/>
    </row>
    <row r="867" customFormat="false" ht="15" hidden="false" customHeight="true" outlineLevel="0" collapsed="false">
      <c r="G867" s="218"/>
    </row>
    <row r="868" customFormat="false" ht="15" hidden="false" customHeight="true" outlineLevel="0" collapsed="false">
      <c r="G868" s="218"/>
    </row>
    <row r="869" customFormat="false" ht="15" hidden="false" customHeight="true" outlineLevel="0" collapsed="false">
      <c r="G869" s="218"/>
    </row>
    <row r="870" customFormat="false" ht="15" hidden="false" customHeight="true" outlineLevel="0" collapsed="false">
      <c r="G870" s="218"/>
    </row>
    <row r="871" customFormat="false" ht="15" hidden="false" customHeight="true" outlineLevel="0" collapsed="false">
      <c r="G871" s="218"/>
    </row>
    <row r="872" customFormat="false" ht="15" hidden="false" customHeight="true" outlineLevel="0" collapsed="false">
      <c r="G872" s="218"/>
    </row>
    <row r="873" customFormat="false" ht="15" hidden="false" customHeight="true" outlineLevel="0" collapsed="false">
      <c r="G873" s="218"/>
    </row>
    <row r="874" customFormat="false" ht="15" hidden="false" customHeight="true" outlineLevel="0" collapsed="false">
      <c r="G874" s="218"/>
    </row>
    <row r="875" customFormat="false" ht="15" hidden="false" customHeight="true" outlineLevel="0" collapsed="false">
      <c r="G875" s="218"/>
    </row>
    <row r="876" customFormat="false" ht="15" hidden="false" customHeight="true" outlineLevel="0" collapsed="false">
      <c r="G876" s="218"/>
    </row>
    <row r="877" customFormat="false" ht="15" hidden="false" customHeight="true" outlineLevel="0" collapsed="false">
      <c r="G877" s="218"/>
    </row>
    <row r="878" customFormat="false" ht="15" hidden="false" customHeight="true" outlineLevel="0" collapsed="false">
      <c r="G878" s="218"/>
    </row>
    <row r="879" customFormat="false" ht="15" hidden="false" customHeight="true" outlineLevel="0" collapsed="false">
      <c r="G879" s="218"/>
    </row>
    <row r="880" customFormat="false" ht="15" hidden="false" customHeight="true" outlineLevel="0" collapsed="false">
      <c r="G880" s="218"/>
    </row>
    <row r="881" customFormat="false" ht="15" hidden="false" customHeight="true" outlineLevel="0" collapsed="false">
      <c r="G881" s="218"/>
    </row>
    <row r="882" customFormat="false" ht="15" hidden="false" customHeight="true" outlineLevel="0" collapsed="false">
      <c r="G882" s="218"/>
    </row>
    <row r="883" customFormat="false" ht="15" hidden="false" customHeight="true" outlineLevel="0" collapsed="false">
      <c r="G883" s="218"/>
    </row>
    <row r="884" customFormat="false" ht="15" hidden="false" customHeight="true" outlineLevel="0" collapsed="false">
      <c r="G884" s="218"/>
    </row>
    <row r="885" customFormat="false" ht="15" hidden="false" customHeight="true" outlineLevel="0" collapsed="false">
      <c r="G885" s="218"/>
    </row>
    <row r="886" customFormat="false" ht="15" hidden="false" customHeight="true" outlineLevel="0" collapsed="false">
      <c r="G886" s="218"/>
    </row>
    <row r="887" customFormat="false" ht="15" hidden="false" customHeight="true" outlineLevel="0" collapsed="false">
      <c r="G887" s="218"/>
    </row>
    <row r="888" customFormat="false" ht="15" hidden="false" customHeight="true" outlineLevel="0" collapsed="false">
      <c r="G888" s="218"/>
    </row>
    <row r="889" customFormat="false" ht="15" hidden="false" customHeight="true" outlineLevel="0" collapsed="false">
      <c r="G889" s="218"/>
    </row>
    <row r="890" customFormat="false" ht="15" hidden="false" customHeight="true" outlineLevel="0" collapsed="false">
      <c r="G890" s="218"/>
    </row>
    <row r="891" customFormat="false" ht="15" hidden="false" customHeight="true" outlineLevel="0" collapsed="false">
      <c r="G891" s="218"/>
    </row>
    <row r="892" customFormat="false" ht="15" hidden="false" customHeight="true" outlineLevel="0" collapsed="false">
      <c r="G892" s="218"/>
    </row>
    <row r="893" customFormat="false" ht="15" hidden="false" customHeight="true" outlineLevel="0" collapsed="false">
      <c r="G893" s="218"/>
    </row>
    <row r="894" customFormat="false" ht="15" hidden="false" customHeight="true" outlineLevel="0" collapsed="false">
      <c r="G894" s="218"/>
    </row>
    <row r="895" customFormat="false" ht="15" hidden="false" customHeight="true" outlineLevel="0" collapsed="false">
      <c r="G895" s="218"/>
    </row>
    <row r="896" customFormat="false" ht="15" hidden="false" customHeight="true" outlineLevel="0" collapsed="false">
      <c r="G896" s="218"/>
    </row>
    <row r="897" customFormat="false" ht="15" hidden="false" customHeight="true" outlineLevel="0" collapsed="false">
      <c r="G897" s="218"/>
    </row>
    <row r="898" customFormat="false" ht="15" hidden="false" customHeight="true" outlineLevel="0" collapsed="false">
      <c r="G898" s="218"/>
    </row>
    <row r="899" customFormat="false" ht="15" hidden="false" customHeight="true" outlineLevel="0" collapsed="false">
      <c r="G899" s="218"/>
    </row>
    <row r="900" customFormat="false" ht="15" hidden="false" customHeight="true" outlineLevel="0" collapsed="false">
      <c r="G900" s="218"/>
    </row>
    <row r="901" customFormat="false" ht="15" hidden="false" customHeight="true" outlineLevel="0" collapsed="false">
      <c r="G901" s="218"/>
    </row>
    <row r="902" customFormat="false" ht="15" hidden="false" customHeight="true" outlineLevel="0" collapsed="false">
      <c r="G902" s="218"/>
    </row>
    <row r="903" customFormat="false" ht="15" hidden="false" customHeight="true" outlineLevel="0" collapsed="false">
      <c r="G903" s="218"/>
    </row>
    <row r="904" customFormat="false" ht="15" hidden="false" customHeight="true" outlineLevel="0" collapsed="false">
      <c r="G904" s="218"/>
    </row>
    <row r="905" customFormat="false" ht="15" hidden="false" customHeight="true" outlineLevel="0" collapsed="false">
      <c r="G905" s="218"/>
    </row>
    <row r="906" customFormat="false" ht="15" hidden="false" customHeight="true" outlineLevel="0" collapsed="false">
      <c r="G906" s="218"/>
    </row>
    <row r="907" customFormat="false" ht="15" hidden="false" customHeight="true" outlineLevel="0" collapsed="false">
      <c r="G907" s="218"/>
    </row>
    <row r="908" customFormat="false" ht="15" hidden="false" customHeight="true" outlineLevel="0" collapsed="false">
      <c r="G908" s="218"/>
    </row>
    <row r="909" customFormat="false" ht="15" hidden="false" customHeight="true" outlineLevel="0" collapsed="false">
      <c r="G909" s="218"/>
    </row>
    <row r="910" customFormat="false" ht="15" hidden="false" customHeight="true" outlineLevel="0" collapsed="false">
      <c r="G910" s="218"/>
    </row>
    <row r="911" customFormat="false" ht="15" hidden="false" customHeight="true" outlineLevel="0" collapsed="false">
      <c r="G911" s="218"/>
    </row>
    <row r="912" customFormat="false" ht="15" hidden="false" customHeight="true" outlineLevel="0" collapsed="false">
      <c r="G912" s="218"/>
    </row>
    <row r="913" customFormat="false" ht="15" hidden="false" customHeight="true" outlineLevel="0" collapsed="false">
      <c r="G913" s="218"/>
    </row>
    <row r="914" customFormat="false" ht="15" hidden="false" customHeight="true" outlineLevel="0" collapsed="false">
      <c r="G914" s="218"/>
    </row>
    <row r="915" customFormat="false" ht="15" hidden="false" customHeight="true" outlineLevel="0" collapsed="false">
      <c r="G915" s="218"/>
    </row>
    <row r="916" customFormat="false" ht="15" hidden="false" customHeight="true" outlineLevel="0" collapsed="false">
      <c r="G916" s="218"/>
    </row>
    <row r="917" customFormat="false" ht="15" hidden="false" customHeight="true" outlineLevel="0" collapsed="false">
      <c r="G917" s="218"/>
    </row>
    <row r="918" customFormat="false" ht="15" hidden="false" customHeight="true" outlineLevel="0" collapsed="false">
      <c r="G918" s="218"/>
    </row>
    <row r="919" customFormat="false" ht="15" hidden="false" customHeight="true" outlineLevel="0" collapsed="false">
      <c r="G919" s="218"/>
    </row>
    <row r="920" customFormat="false" ht="15" hidden="false" customHeight="true" outlineLevel="0" collapsed="false">
      <c r="G920" s="218"/>
    </row>
    <row r="921" customFormat="false" ht="15" hidden="false" customHeight="true" outlineLevel="0" collapsed="false">
      <c r="G921" s="218"/>
    </row>
    <row r="922" customFormat="false" ht="15" hidden="false" customHeight="true" outlineLevel="0" collapsed="false">
      <c r="G922" s="218"/>
    </row>
    <row r="923" customFormat="false" ht="15" hidden="false" customHeight="true" outlineLevel="0" collapsed="false">
      <c r="G923" s="218"/>
    </row>
    <row r="924" customFormat="false" ht="15" hidden="false" customHeight="true" outlineLevel="0" collapsed="false">
      <c r="G924" s="218"/>
    </row>
    <row r="925" customFormat="false" ht="15" hidden="false" customHeight="true" outlineLevel="0" collapsed="false">
      <c r="G925" s="218"/>
    </row>
    <row r="926" customFormat="false" ht="15" hidden="false" customHeight="true" outlineLevel="0" collapsed="false">
      <c r="G926" s="218"/>
    </row>
    <row r="927" customFormat="false" ht="15" hidden="false" customHeight="true" outlineLevel="0" collapsed="false">
      <c r="G927" s="218"/>
    </row>
    <row r="928" customFormat="false" ht="15" hidden="false" customHeight="true" outlineLevel="0" collapsed="false">
      <c r="G928" s="218"/>
    </row>
    <row r="929" customFormat="false" ht="15" hidden="false" customHeight="true" outlineLevel="0" collapsed="false">
      <c r="G929" s="218"/>
    </row>
    <row r="930" customFormat="false" ht="15" hidden="false" customHeight="true" outlineLevel="0" collapsed="false">
      <c r="G930" s="218"/>
    </row>
    <row r="931" customFormat="false" ht="15" hidden="false" customHeight="true" outlineLevel="0" collapsed="false">
      <c r="G931" s="218"/>
    </row>
    <row r="932" customFormat="false" ht="15" hidden="false" customHeight="true" outlineLevel="0" collapsed="false">
      <c r="G932" s="218"/>
    </row>
    <row r="933" customFormat="false" ht="15" hidden="false" customHeight="true" outlineLevel="0" collapsed="false">
      <c r="G933" s="218"/>
    </row>
    <row r="934" customFormat="false" ht="15" hidden="false" customHeight="true" outlineLevel="0" collapsed="false">
      <c r="G934" s="218"/>
    </row>
    <row r="935" customFormat="false" ht="15" hidden="false" customHeight="true" outlineLevel="0" collapsed="false">
      <c r="G935" s="218"/>
    </row>
    <row r="936" customFormat="false" ht="15" hidden="false" customHeight="true" outlineLevel="0" collapsed="false">
      <c r="G936" s="218"/>
    </row>
    <row r="937" customFormat="false" ht="15" hidden="false" customHeight="true" outlineLevel="0" collapsed="false">
      <c r="G937" s="218"/>
    </row>
    <row r="938" customFormat="false" ht="15" hidden="false" customHeight="true" outlineLevel="0" collapsed="false">
      <c r="G938" s="218"/>
    </row>
    <row r="939" customFormat="false" ht="15" hidden="false" customHeight="true" outlineLevel="0" collapsed="false">
      <c r="G939" s="218"/>
    </row>
    <row r="940" customFormat="false" ht="15" hidden="false" customHeight="true" outlineLevel="0" collapsed="false">
      <c r="G940" s="218"/>
    </row>
    <row r="941" customFormat="false" ht="15" hidden="false" customHeight="true" outlineLevel="0" collapsed="false">
      <c r="G941" s="218"/>
    </row>
    <row r="942" customFormat="false" ht="15" hidden="false" customHeight="true" outlineLevel="0" collapsed="false">
      <c r="G942" s="218"/>
    </row>
    <row r="943" customFormat="false" ht="15" hidden="false" customHeight="true" outlineLevel="0" collapsed="false">
      <c r="G943" s="218"/>
    </row>
    <row r="944" customFormat="false" ht="15" hidden="false" customHeight="true" outlineLevel="0" collapsed="false">
      <c r="G944" s="218"/>
    </row>
    <row r="945" customFormat="false" ht="15" hidden="false" customHeight="true" outlineLevel="0" collapsed="false">
      <c r="G945" s="218"/>
    </row>
    <row r="946" customFormat="false" ht="15" hidden="false" customHeight="true" outlineLevel="0" collapsed="false">
      <c r="G946" s="218"/>
    </row>
    <row r="947" customFormat="false" ht="15" hidden="false" customHeight="true" outlineLevel="0" collapsed="false">
      <c r="G947" s="218"/>
    </row>
    <row r="948" customFormat="false" ht="15" hidden="false" customHeight="true" outlineLevel="0" collapsed="false">
      <c r="G948" s="218"/>
    </row>
    <row r="949" customFormat="false" ht="15" hidden="false" customHeight="true" outlineLevel="0" collapsed="false">
      <c r="G949" s="218"/>
    </row>
    <row r="950" customFormat="false" ht="15" hidden="false" customHeight="true" outlineLevel="0" collapsed="false">
      <c r="G950" s="218"/>
    </row>
    <row r="951" customFormat="false" ht="15" hidden="false" customHeight="true" outlineLevel="0" collapsed="false">
      <c r="G951" s="218"/>
    </row>
    <row r="952" customFormat="false" ht="15" hidden="false" customHeight="true" outlineLevel="0" collapsed="false">
      <c r="G952" s="218"/>
    </row>
    <row r="953" customFormat="false" ht="15" hidden="false" customHeight="true" outlineLevel="0" collapsed="false">
      <c r="G953" s="218"/>
    </row>
    <row r="954" customFormat="false" ht="15" hidden="false" customHeight="true" outlineLevel="0" collapsed="false">
      <c r="G954" s="218"/>
    </row>
    <row r="955" customFormat="false" ht="15" hidden="false" customHeight="true" outlineLevel="0" collapsed="false">
      <c r="G955" s="218"/>
    </row>
    <row r="956" customFormat="false" ht="15" hidden="false" customHeight="true" outlineLevel="0" collapsed="false">
      <c r="G956" s="218"/>
    </row>
    <row r="957" customFormat="false" ht="15" hidden="false" customHeight="true" outlineLevel="0" collapsed="false">
      <c r="G957" s="218"/>
    </row>
    <row r="958" customFormat="false" ht="15" hidden="false" customHeight="true" outlineLevel="0" collapsed="false">
      <c r="G958" s="218"/>
    </row>
    <row r="959" customFormat="false" ht="15" hidden="false" customHeight="true" outlineLevel="0" collapsed="false">
      <c r="G959" s="218"/>
    </row>
    <row r="960" customFormat="false" ht="15" hidden="false" customHeight="true" outlineLevel="0" collapsed="false">
      <c r="G960" s="218"/>
    </row>
    <row r="961" customFormat="false" ht="15" hidden="false" customHeight="true" outlineLevel="0" collapsed="false">
      <c r="G961" s="218"/>
    </row>
    <row r="962" customFormat="false" ht="15" hidden="false" customHeight="true" outlineLevel="0" collapsed="false">
      <c r="G962" s="218"/>
    </row>
    <row r="963" customFormat="false" ht="15" hidden="false" customHeight="true" outlineLevel="0" collapsed="false">
      <c r="G963" s="218"/>
    </row>
    <row r="964" customFormat="false" ht="15" hidden="false" customHeight="true" outlineLevel="0" collapsed="false">
      <c r="G964" s="218"/>
    </row>
    <row r="965" customFormat="false" ht="15" hidden="false" customHeight="true" outlineLevel="0" collapsed="false">
      <c r="G965" s="218"/>
    </row>
    <row r="966" customFormat="false" ht="15" hidden="false" customHeight="true" outlineLevel="0" collapsed="false">
      <c r="G966" s="218"/>
    </row>
    <row r="967" customFormat="false" ht="15" hidden="false" customHeight="true" outlineLevel="0" collapsed="false">
      <c r="G967" s="218"/>
    </row>
    <row r="968" customFormat="false" ht="15" hidden="false" customHeight="true" outlineLevel="0" collapsed="false">
      <c r="G968" s="218"/>
    </row>
    <row r="969" customFormat="false" ht="15" hidden="false" customHeight="true" outlineLevel="0" collapsed="false">
      <c r="G969" s="218"/>
    </row>
    <row r="970" customFormat="false" ht="15" hidden="false" customHeight="true" outlineLevel="0" collapsed="false">
      <c r="G970" s="218"/>
    </row>
    <row r="971" customFormat="false" ht="15" hidden="false" customHeight="true" outlineLevel="0" collapsed="false">
      <c r="G971" s="218"/>
    </row>
    <row r="972" customFormat="false" ht="15" hidden="false" customHeight="true" outlineLevel="0" collapsed="false">
      <c r="G972" s="218"/>
    </row>
    <row r="973" customFormat="false" ht="15" hidden="false" customHeight="true" outlineLevel="0" collapsed="false">
      <c r="G973" s="218"/>
    </row>
    <row r="974" customFormat="false" ht="15" hidden="false" customHeight="true" outlineLevel="0" collapsed="false">
      <c r="G974" s="218"/>
    </row>
    <row r="975" customFormat="false" ht="15" hidden="false" customHeight="true" outlineLevel="0" collapsed="false">
      <c r="G975" s="218"/>
    </row>
    <row r="976" customFormat="false" ht="15" hidden="false" customHeight="true" outlineLevel="0" collapsed="false">
      <c r="G976" s="218"/>
    </row>
    <row r="977" customFormat="false" ht="15" hidden="false" customHeight="true" outlineLevel="0" collapsed="false">
      <c r="G977" s="218"/>
    </row>
    <row r="978" customFormat="false" ht="15" hidden="false" customHeight="true" outlineLevel="0" collapsed="false">
      <c r="G978" s="218"/>
    </row>
    <row r="979" customFormat="false" ht="15" hidden="false" customHeight="true" outlineLevel="0" collapsed="false">
      <c r="G979" s="218"/>
    </row>
    <row r="980" customFormat="false" ht="15" hidden="false" customHeight="true" outlineLevel="0" collapsed="false">
      <c r="G980" s="218"/>
    </row>
    <row r="981" customFormat="false" ht="15" hidden="false" customHeight="true" outlineLevel="0" collapsed="false">
      <c r="G981" s="218"/>
    </row>
    <row r="982" customFormat="false" ht="15" hidden="false" customHeight="true" outlineLevel="0" collapsed="false">
      <c r="G982" s="218"/>
    </row>
    <row r="983" customFormat="false" ht="15" hidden="false" customHeight="true" outlineLevel="0" collapsed="false">
      <c r="G983" s="218"/>
    </row>
    <row r="984" customFormat="false" ht="15" hidden="false" customHeight="true" outlineLevel="0" collapsed="false">
      <c r="G984" s="218"/>
    </row>
    <row r="985" customFormat="false" ht="15" hidden="false" customHeight="true" outlineLevel="0" collapsed="false">
      <c r="G985" s="218"/>
    </row>
    <row r="986" customFormat="false" ht="15" hidden="false" customHeight="true" outlineLevel="0" collapsed="false">
      <c r="G986" s="218"/>
    </row>
    <row r="987" customFormat="false" ht="15" hidden="false" customHeight="true" outlineLevel="0" collapsed="false">
      <c r="G987" s="218"/>
    </row>
    <row r="988" customFormat="false" ht="15" hidden="false" customHeight="true" outlineLevel="0" collapsed="false"/>
  </sheetData>
  <mergeCells count="2">
    <mergeCell ref="A1:F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2026-01-26T21:11:30Z</dcterms:created>
  <dc:creator>openpyxl</dc:creator>
  <dc:description/>
  <dc:language>en-US</dc:language>
  <cp:lastModifiedBy/>
  <dcterms:modified xsi:type="dcterms:W3CDTF">2026-04-02T15:55:29Z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