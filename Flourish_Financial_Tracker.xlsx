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 Year" sheetId="1" state="visible" r:id="rId3"/>
    <sheet name="Revenue Detail" sheetId="2" state="visible" r:id="rId4"/>
    <sheet name="Expense Detail" sheetId="3" state="visible" r:id="rId5"/>
    <sheet name="Progress Tracker" sheetId="4" state="visible" r:id="rId6"/>
    <sheet name="Executive Dashboard" sheetId="5" state="visible" r:id="rId7"/>
    <sheet name="Planning Proform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<sst xmlns="http://schemas.openxmlformats.org/spreadsheetml/2006/main" count="455" uniqueCount="232">
  <si>
    <t xml:space="preserve">FY26 CURRENT YEAR BUDGET - PRIMARY SOURCE</t>
  </si>
  <si>
    <t xml:space="preserve">Revenue &amp; Expense by account. Sub-accounts/categories sum up to parent. YTD pulls from Progress Tracker.</t>
  </si>
  <si>
    <t xml:space="preserve">Account #</t>
  </si>
  <si>
    <t xml:space="preserve">Account Name</t>
  </si>
  <si>
    <t xml:space="preserve">Account Category</t>
  </si>
  <si>
    <t xml:space="preserve">Budget by Account</t>
  </si>
  <si>
    <t xml:space="preserve">Budget by Category</t>
  </si>
  <si>
    <t xml:space="preserve">YTD Actual</t>
  </si>
  <si>
    <t xml:space="preserve">% of Budget</t>
  </si>
  <si>
    <t xml:space="preserve">REVENUE</t>
  </si>
  <si>
    <t xml:space="preserve">4000</t>
  </si>
  <si>
    <t xml:space="preserve">Community Contributions</t>
  </si>
  <si>
    <t xml:space="preserve">  Board Contributions</t>
  </si>
  <si>
    <t xml:space="preserve">  Founding Donor (NFF) Contributions</t>
  </si>
  <si>
    <t xml:space="preserve">  Major Donor Contributions</t>
  </si>
  <si>
    <t xml:space="preserve">  All Other Community Contributions</t>
  </si>
  <si>
    <t xml:space="preserve">4010</t>
  </si>
  <si>
    <t xml:space="preserve">Merchandise</t>
  </si>
  <si>
    <t xml:space="preserve">4020</t>
  </si>
  <si>
    <t xml:space="preserve">Annual Gathering</t>
  </si>
  <si>
    <t xml:space="preserve">4021</t>
  </si>
  <si>
    <t xml:space="preserve">Gathering Scholarships</t>
  </si>
  <si>
    <t xml:space="preserve">4025</t>
  </si>
  <si>
    <t xml:space="preserve">Fundraising Events</t>
  </si>
  <si>
    <t xml:space="preserve">4026</t>
  </si>
  <si>
    <t xml:space="preserve">Learning Events</t>
  </si>
  <si>
    <t xml:space="preserve">4027</t>
  </si>
  <si>
    <t xml:space="preserve">  Online Learning Events</t>
  </si>
  <si>
    <t xml:space="preserve">4028</t>
  </si>
  <si>
    <t xml:space="preserve">  In Person Learning Event</t>
  </si>
  <si>
    <t xml:space="preserve">4030</t>
  </si>
  <si>
    <t xml:space="preserve">Reimbursables/Misc Uncategorized</t>
  </si>
  <si>
    <t xml:space="preserve">TOTAL REVENUE</t>
  </si>
  <si>
    <t xml:space="preserve">NA</t>
  </si>
  <si>
    <t xml:space="preserve">EXPENSES</t>
  </si>
  <si>
    <t xml:space="preserve">5100</t>
  </si>
  <si>
    <t xml:space="preserve">Member Care</t>
  </si>
  <si>
    <t xml:space="preserve">Development</t>
  </si>
  <si>
    <t xml:space="preserve">5110</t>
  </si>
  <si>
    <t xml:space="preserve">Impact Partner Care</t>
  </si>
  <si>
    <t xml:space="preserve">5200</t>
  </si>
  <si>
    <t xml:space="preserve">Fundraising &amp; Marketing Expenses</t>
  </si>
  <si>
    <t xml:space="preserve">5210</t>
  </si>
  <si>
    <t xml:space="preserve">Fundraising Event</t>
  </si>
  <si>
    <t xml:space="preserve">5300</t>
  </si>
  <si>
    <t xml:space="preserve">Bank &amp; Donation Fees</t>
  </si>
  <si>
    <t xml:space="preserve">Overhead</t>
  </si>
  <si>
    <t xml:space="preserve">5310</t>
  </si>
  <si>
    <t xml:space="preserve">Subscription Services</t>
  </si>
  <si>
    <t xml:space="preserve">5321</t>
  </si>
  <si>
    <t xml:space="preserve">Leadership Travel</t>
  </si>
  <si>
    <t xml:space="preserve">5323</t>
  </si>
  <si>
    <t xml:space="preserve">Leadership Meetings</t>
  </si>
  <si>
    <t xml:space="preserve">Programs</t>
  </si>
  <si>
    <t xml:space="preserve">5330</t>
  </si>
  <si>
    <t xml:space="preserve">Postage and Mailing Supplies</t>
  </si>
  <si>
    <t xml:space="preserve">5340</t>
  </si>
  <si>
    <t xml:space="preserve">Non-Profit Liability Ins (Alliance)</t>
  </si>
  <si>
    <t xml:space="preserve">5350</t>
  </si>
  <si>
    <t xml:space="preserve">Supplies</t>
  </si>
  <si>
    <t xml:space="preserve">5400</t>
  </si>
  <si>
    <t xml:space="preserve">In Person Annual Event</t>
  </si>
  <si>
    <t xml:space="preserve">5410</t>
  </si>
  <si>
    <t xml:space="preserve">Training</t>
  </si>
  <si>
    <t xml:space="preserve">5420</t>
  </si>
  <si>
    <t xml:space="preserve">Honorariums</t>
  </si>
  <si>
    <t xml:space="preserve">5430</t>
  </si>
  <si>
    <t xml:space="preserve">Learning Events Expenses</t>
  </si>
  <si>
    <t xml:space="preserve">5460</t>
  </si>
  <si>
    <t xml:space="preserve">Merchandise (Expense)</t>
  </si>
  <si>
    <t xml:space="preserve">5470</t>
  </si>
  <si>
    <t xml:space="preserve">Misc Expenses</t>
  </si>
  <si>
    <t xml:space="preserve">5480</t>
  </si>
  <si>
    <t xml:space="preserve">Printing</t>
  </si>
  <si>
    <t xml:space="preserve">5500</t>
  </si>
  <si>
    <t xml:space="preserve">Grants</t>
  </si>
  <si>
    <t xml:space="preserve">Grantmaking</t>
  </si>
  <si>
    <t xml:space="preserve">5600</t>
  </si>
  <si>
    <t xml:space="preserve">Staff Costs - Michele (Dev)</t>
  </si>
  <si>
    <t xml:space="preserve">5601</t>
  </si>
  <si>
    <t xml:space="preserve">Staff Costs - Michele (Prog)</t>
  </si>
  <si>
    <t xml:space="preserve">5602</t>
  </si>
  <si>
    <t xml:space="preserve">Staff Costs - Michele (OH)</t>
  </si>
  <si>
    <t xml:space="preserve">5603</t>
  </si>
  <si>
    <t xml:space="preserve">Staff Costs - Lynnette (Dev)</t>
  </si>
  <si>
    <t xml:space="preserve">5604</t>
  </si>
  <si>
    <t xml:space="preserve">Staff Costs - Lynnette (Prog)</t>
  </si>
  <si>
    <t xml:space="preserve">5610</t>
  </si>
  <si>
    <t xml:space="preserve">Kristin Malvadkar (Prog)</t>
  </si>
  <si>
    <t xml:space="preserve">5611</t>
  </si>
  <si>
    <t xml:space="preserve">Kristin Malvadkar (OH)</t>
  </si>
  <si>
    <t xml:space="preserve">5620</t>
  </si>
  <si>
    <t xml:space="preserve">Lauren (Dev)</t>
  </si>
  <si>
    <t xml:space="preserve">5621</t>
  </si>
  <si>
    <t xml:space="preserve">Lauren (Prog)</t>
  </si>
  <si>
    <t xml:space="preserve">5640</t>
  </si>
  <si>
    <t xml:space="preserve">Sharon Bennett (Admin)</t>
  </si>
  <si>
    <t xml:space="preserve">TOTAL EXPENSES</t>
  </si>
  <si>
    <t xml:space="preserve">EXPENSE CATEGORY SUBTOTALS</t>
  </si>
  <si>
    <t xml:space="preserve">Development: Donor &amp; Partner Care</t>
  </si>
  <si>
    <t xml:space="preserve">Programs: Education, Allyship, Engagement</t>
  </si>
  <si>
    <t xml:space="preserve">NET INCOME</t>
  </si>
  <si>
    <t xml:space="preserve">REVENUE TRACKING BY SOURCE</t>
  </si>
  <si>
    <t xml:space="preserve">Revenue Source</t>
  </si>
  <si>
    <t xml:space="preserve">FY21 Actual</t>
  </si>
  <si>
    <t xml:space="preserve">FY22 Actual</t>
  </si>
  <si>
    <t xml:space="preserve">FY23 Actual</t>
  </si>
  <si>
    <t xml:space="preserve">FY24 Actual</t>
  </si>
  <si>
    <t xml:space="preserve">FY25 Actual</t>
  </si>
  <si>
    <t xml:space="preserve">FY26 Budget</t>
  </si>
  <si>
    <t xml:space="preserve">FY26 YTD</t>
  </si>
  <si>
    <t xml:space="preserve">FY26 % Plan</t>
  </si>
  <si>
    <t xml:space="preserve">  In Person Learning Events</t>
  </si>
  <si>
    <t xml:space="preserve">Reimbursables/Misc</t>
  </si>
  <si>
    <t xml:space="preserve">EXPENSE TRACKING BY CATEGORY</t>
  </si>
  <si>
    <t xml:space="preserve">Expense Category</t>
  </si>
  <si>
    <t xml:space="preserve">GRANTMAKING</t>
  </si>
  <si>
    <t xml:space="preserve">  Impact Grants Awarded</t>
  </si>
  <si>
    <t xml:space="preserve">DEVELOPMENT &amp; DONOR CARE</t>
  </si>
  <si>
    <t xml:space="preserve">  Member Care</t>
  </si>
  <si>
    <t xml:space="preserve">  Impact Partner Care</t>
  </si>
  <si>
    <t xml:space="preserve">  Fundraising &amp; Marketing</t>
  </si>
  <si>
    <t xml:space="preserve">  Fundraising Event Costs</t>
  </si>
  <si>
    <t xml:space="preserve">  Staff Costs (Dev Allocation)</t>
  </si>
  <si>
    <t xml:space="preserve">  Subtotal Development</t>
  </si>
  <si>
    <t xml:space="preserve">PROGRAMS &amp; EDUCATION</t>
  </si>
  <si>
    <t xml:space="preserve">  Leadership Meetings</t>
  </si>
  <si>
    <t xml:space="preserve">  In Person Annual Event</t>
  </si>
  <si>
    <t xml:space="preserve">  Learning Events Expenses</t>
  </si>
  <si>
    <t xml:space="preserve">  Training &amp; Honorariums</t>
  </si>
  <si>
    <t xml:space="preserve">  Staff Costs (Program Allocation)</t>
  </si>
  <si>
    <t xml:space="preserve">  Subtotal Programs</t>
  </si>
  <si>
    <t xml:space="preserve">OVERHEAD</t>
  </si>
  <si>
    <t xml:space="preserve">  Bank &amp; Donation Fees</t>
  </si>
  <si>
    <t xml:space="preserve">  Subscription Services</t>
  </si>
  <si>
    <t xml:space="preserve">  Insurance &amp; Compliance</t>
  </si>
  <si>
    <t xml:space="preserve">  Leadership Travel</t>
  </si>
  <si>
    <t xml:space="preserve">  Supplies &amp; Misc</t>
  </si>
  <si>
    <t xml:space="preserve">  Staff Costs (Overhead Allocation)</t>
  </si>
  <si>
    <t xml:space="preserve">  Subtotal Overhead</t>
  </si>
  <si>
    <t xml:space="preserve">FY26 PROGRESS TRACKER - Monthly Actuals by Account</t>
  </si>
  <si>
    <t xml:space="preserve">Acct #</t>
  </si>
  <si>
    <t xml:space="preserve">Category</t>
  </si>
  <si>
    <t xml:space="preserve">Budget</t>
  </si>
  <si>
    <t xml:space="preserve">Jan</t>
  </si>
  <si>
    <t xml:space="preserve">Feb</t>
  </si>
  <si>
    <t xml:space="preserve">Mar</t>
  </si>
  <si>
    <t xml:space="preserve">Q1</t>
  </si>
  <si>
    <t xml:space="preserve">Apr</t>
  </si>
  <si>
    <t xml:space="preserve">May</t>
  </si>
  <si>
    <t xml:space="preserve">Jun</t>
  </si>
  <si>
    <t xml:space="preserve">Q2</t>
  </si>
  <si>
    <t xml:space="preserve">Jul</t>
  </si>
  <si>
    <t xml:space="preserve">Aug</t>
  </si>
  <si>
    <t xml:space="preserve">Sep</t>
  </si>
  <si>
    <t xml:space="preserve">Q3</t>
  </si>
  <si>
    <t xml:space="preserve">Oct</t>
  </si>
  <si>
    <t xml:space="preserve">Nov</t>
  </si>
  <si>
    <t xml:space="preserve">Dec</t>
  </si>
  <si>
    <t xml:space="preserve">Q4</t>
  </si>
  <si>
    <t xml:space="preserve">YTD</t>
  </si>
  <si>
    <t xml:space="preserve">% Bgt</t>
  </si>
  <si>
    <t xml:space="preserve">EXPENSE CATEGORY SUMMARY</t>
  </si>
  <si>
    <t xml:space="preserve">THE FLOURISH COLLECTIVE</t>
  </si>
  <si>
    <t xml:space="preserve">Financial Performance Tracker &amp; 2030 Projection</t>
  </si>
  <si>
    <t xml:space="preserve">Metric</t>
  </si>
  <si>
    <t xml:space="preserve">FY21</t>
  </si>
  <si>
    <t xml:space="preserve">FY22</t>
  </si>
  <si>
    <t xml:space="preserve">FY23</t>
  </si>
  <si>
    <t xml:space="preserve">FY24</t>
  </si>
  <si>
    <t xml:space="preserve">FY25 Plan</t>
  </si>
  <si>
    <t xml:space="preserve">FY25 % Plan</t>
  </si>
  <si>
    <t xml:space="preserve">FY26 Actual</t>
  </si>
  <si>
    <t xml:space="preserve">FY27 Proj</t>
  </si>
  <si>
    <t xml:space="preserve">FY28 Proj</t>
  </si>
  <si>
    <t xml:space="preserve">FY29 Proj</t>
  </si>
  <si>
    <t xml:space="preserve">FY30 Proj</t>
  </si>
  <si>
    <t xml:space="preserve">  Grantmaking</t>
  </si>
  <si>
    <t xml:space="preserve">  Development/Donor Care</t>
  </si>
  <si>
    <t xml:space="preserve">  Programs/Education</t>
  </si>
  <si>
    <t xml:space="preserve">  Overhead</t>
  </si>
  <si>
    <t xml:space="preserve"># Active Allies</t>
  </si>
  <si>
    <t xml:space="preserve"># Donors</t>
  </si>
  <si>
    <t xml:space="preserve">Average Donation ($)</t>
  </si>
  <si>
    <t xml:space="preserve">% Community Giving</t>
  </si>
  <si>
    <t xml:space="preserve">Community Growth %</t>
  </si>
  <si>
    <t xml:space="preserve">PLANNING PROFORMA &amp; SCENARIO ANALYSIS</t>
  </si>
  <si>
    <t xml:space="preserve">Edit BLUE cells to adjust projections. FY26 pulls from Current Year Budget. Gray cells are calculated.</t>
  </si>
  <si>
    <t xml:space="preserve">PROJECTION ASSUMPTIONS</t>
  </si>
  <si>
    <t xml:space="preserve">Assumption</t>
  </si>
  <si>
    <t xml:space="preserve">FY26 (Current)</t>
  </si>
  <si>
    <t xml:space="preserve">FY27</t>
  </si>
  <si>
    <t xml:space="preserve">FY28</t>
  </si>
  <si>
    <t xml:space="preserve">FY29</t>
  </si>
  <si>
    <t xml:space="preserve">FY30</t>
  </si>
  <si>
    <t xml:space="preserve">Notes</t>
  </si>
  <si>
    <t xml:space="preserve">REVENUE GROWTH</t>
  </si>
  <si>
    <t xml:space="preserve">Community Contributions Growth %</t>
  </si>
  <si>
    <t xml:space="preserve">N/A</t>
  </si>
  <si>
    <t xml:space="preserve">Year-over-year growth</t>
  </si>
  <si>
    <t xml:space="preserve">Board Contributions ($)</t>
  </si>
  <si>
    <t xml:space="preserve">Fixed annual amount</t>
  </si>
  <si>
    <t xml:space="preserve">NFF Contributions ($)</t>
  </si>
  <si>
    <t xml:space="preserve">Declining per agreement</t>
  </si>
  <si>
    <t xml:space="preserve">Major Donor Growth %</t>
  </si>
  <si>
    <t xml:space="preserve">Fundraising Events Growth %</t>
  </si>
  <si>
    <t xml:space="preserve">Learning Events Growth %</t>
  </si>
  <si>
    <t xml:space="preserve">EXPENSE GROWTH</t>
  </si>
  <si>
    <t xml:space="preserve">Staff Cost Growth %</t>
  </si>
  <si>
    <t xml:space="preserve">Annual raises/benefits</t>
  </si>
  <si>
    <t xml:space="preserve">Program Cost Growth %</t>
  </si>
  <si>
    <t xml:space="preserve">Scaling programs</t>
  </si>
  <si>
    <t xml:space="preserve">Overhead as % of Total</t>
  </si>
  <si>
    <t xml:space="preserve">Target overhead ratio</t>
  </si>
  <si>
    <t xml:space="preserve">Grantmaking Target ($)</t>
  </si>
  <si>
    <t xml:space="preserve">Annual grants awarded</t>
  </si>
  <si>
    <t xml:space="preserve">COMMUNITY GROWTH</t>
  </si>
  <si>
    <t xml:space="preserve">Community Size Growth %</t>
  </si>
  <si>
    <t xml:space="preserve">Member growth rate</t>
  </si>
  <si>
    <t xml:space="preserve">Donor Conversion Rate</t>
  </si>
  <si>
    <t xml:space="preserve">% of community who give</t>
  </si>
  <si>
    <t xml:space="preserve">Average Donation Growth %</t>
  </si>
  <si>
    <t xml:space="preserve">2030 STRATEGIC TARGETS</t>
  </si>
  <si>
    <t xml:space="preserve">$1M+ Grants Given (Cumulative)</t>
  </si>
  <si>
    <t xml:space="preserve">1,000+ Active Allies</t>
  </si>
  <si>
    <t xml:space="preserve">50 Impact Partner Organizations</t>
  </si>
  <si>
    <t xml:space="preserve">20,000 Individuals Engaged (Cumulative)</t>
  </si>
  <si>
    <t xml:space="preserve">REVENUE PROJECTIONS</t>
  </si>
  <si>
    <t xml:space="preserve">Account</t>
  </si>
  <si>
    <t xml:space="preserve">  NFF Contributions</t>
  </si>
  <si>
    <t xml:space="preserve">  All Other Community</t>
  </si>
  <si>
    <t xml:space="preserve">EXPENSE PROJECTIONS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</si>
</sst>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"/>
    <numFmt numFmtId="166" formatCode="0%"/>
    <numFmt numFmtId="167" formatCode="\$#,##0;&quot;($&quot;#,##0\);\-"/>
    <numFmt numFmtId="168" formatCode="#,##0"/>
    <numFmt numFmtId="169" formatCode="\$#,##0;&quot;($&quot;#,##0\);\$0"/>
  </numFmts>
  <fonts count="2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8761D"/>
      <name val="Cambria"/>
      <family val="0"/>
      <charset val="1"/>
    </font>
    <font>
      <i val="true"/>
      <sz val="11"/>
      <color rgb="FF43434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theme="1"/>
      <name val="Cambria"/>
      <family val="0"/>
      <charset val="1"/>
    </font>
    <font>
      <sz val="11"/>
      <color theme="1"/>
      <name val="Cambria"/>
      <family val="0"/>
      <charset val="1"/>
    </font>
    <font>
      <i val="true"/>
      <sz val="11"/>
      <color rgb="FF434343"/>
      <name val="Calibri"/>
      <family val="0"/>
      <charset val="1"/>
    </font>
    <font>
      <sz val="11"/>
      <color rgb="FF000000"/>
      <name val="Cambria"/>
      <family val="0"/>
      <charset val="1"/>
    </font>
    <font>
      <sz val="11"/>
      <color rgb="FF434343"/>
      <name val="Cambria"/>
      <family val="0"/>
      <charset val="1"/>
    </font>
    <font>
      <sz val="11"/>
      <color rgb="FF434343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i val="true"/>
      <sz val="11"/>
      <color theme="1"/>
      <name val="Cambria"/>
      <family val="0"/>
      <charset val="1"/>
    </font>
    <font>
      <b val="true"/>
      <sz val="14"/>
      <color rgb="FF2E7D32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i val="true"/>
      <sz val="11"/>
      <color theme="1"/>
      <name val="Calibri"/>
      <family val="0"/>
      <charset val="1"/>
    </font>
    <font>
      <b val="true"/>
      <sz val="14"/>
      <color theme="1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color rgb="FF000000"/>
      <name val="Cambria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0000FF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6"/>
      <color rgb="FF2E7D32"/>
      <name val="Cambria"/>
      <family val="0"/>
      <charset val="1"/>
    </font>
    <font>
      <b val="true"/>
      <sz val="12"/>
      <color rgb="FF1565C0"/>
      <name val="Cambria"/>
      <family val="0"/>
      <charset val="1"/>
    </font>
    <font>
      <b val="true"/>
      <sz val="12"/>
      <color rgb="FF2E7D32"/>
      <name val="Cambri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38761D"/>
        <bgColor rgb="FF2E7D32"/>
      </patternFill>
    </fill>
    <fill>
      <patternFill patternType="solid">
        <fgColor rgb="FFC8E6C9"/>
        <bgColor rgb="FFBBDEFB"/>
      </patternFill>
    </fill>
    <fill>
      <patternFill patternType="solid">
        <fgColor rgb="FFE3F2FD"/>
        <bgColor rgb="FFE8F5E9"/>
      </patternFill>
    </fill>
    <fill>
      <patternFill patternType="solid">
        <fgColor rgb="FFFFF9C4"/>
        <bgColor rgb="FFFCE5CD"/>
      </patternFill>
    </fill>
    <fill>
      <patternFill patternType="solid">
        <fgColor rgb="FF2E7D32"/>
        <bgColor rgb="FF38761D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rgb="FFBBDEFB"/>
        <bgColor rgb="FFC8E6C9"/>
      </patternFill>
    </fill>
    <fill>
      <patternFill patternType="solid">
        <fgColor rgb="FFFCE5CD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8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1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1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7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8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8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7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7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4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8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7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7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7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BBD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C9"/>
      <rgbColor rgb="FFF5F5F5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2E7D32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9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4"/>
    <col collapsed="false" customWidth="true" hidden="false" outlineLevel="0" max="3" min="3" style="1" width="34.29"/>
    <col collapsed="false" customWidth="true" hidden="false" outlineLevel="0" max="4" min="4" style="1" width="20.85"/>
    <col collapsed="false" customWidth="true" hidden="false" outlineLevel="0" max="5" min="5" style="1" width="21.14"/>
    <col collapsed="false" customWidth="true" hidden="false" outlineLevel="0" max="6" min="6" style="1" width="14"/>
    <col collapsed="false" customWidth="true" hidden="false" outlineLevel="0" max="7" min="7" style="1" width="14.57"/>
    <col collapsed="false" customWidth="true" hidden="false" outlineLevel="0" max="27" min="8" style="1" width="8.71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/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customFormat="false" ht="15" hidden="false" customHeight="true" outlineLevel="0" collapsed="false">
      <c r="A5" s="6" t="s">
        <v>9</v>
      </c>
      <c r="B5" s="6"/>
      <c r="C5" s="6"/>
      <c r="D5" s="6"/>
      <c r="E5" s="6"/>
      <c r="F5" s="6"/>
      <c r="G5" s="6"/>
    </row>
    <row r="6" customFormat="false" ht="15" hidden="false" customHeight="true" outlineLevel="0" collapsed="false">
      <c r="A6" s="1" t="s">
        <v>10</v>
      </c>
      <c r="B6" s="7" t="s">
        <v>11</v>
      </c>
      <c r="D6" s="8" t="n">
        <f aca="false">SUM(E7:E10)</f>
        <v>375000</v>
      </c>
      <c r="E6" s="8"/>
      <c r="F6" s="8" t="n">
        <f aca="false">SUM(F7:F10)</f>
        <v>0</v>
      </c>
      <c r="G6" s="9" t="n">
        <f aca="false">IF(D6=0,0,F6/D6)</f>
        <v>0</v>
      </c>
    </row>
    <row r="7" customFormat="false" ht="15" hidden="false" customHeight="true" outlineLevel="0" collapsed="false">
      <c r="B7" s="3"/>
      <c r="C7" s="3" t="s">
        <v>12</v>
      </c>
      <c r="E7" s="10" t="n">
        <v>0</v>
      </c>
      <c r="F7" s="11" t="n">
        <f aca="false">'Progress Tracker'!U7</f>
        <v>0</v>
      </c>
      <c r="G7" s="12" t="n">
        <f aca="false">IF(E7=0,0,F7/E7)</f>
        <v>0</v>
      </c>
    </row>
    <row r="8" customFormat="false" ht="15" hidden="false" customHeight="true" outlineLevel="0" collapsed="false">
      <c r="B8" s="3"/>
      <c r="C8" s="3" t="s">
        <v>13</v>
      </c>
      <c r="E8" s="10" t="n">
        <v>0</v>
      </c>
      <c r="F8" s="11" t="n">
        <f aca="false">'Progress Tracker'!U8</f>
        <v>0</v>
      </c>
      <c r="G8" s="12" t="n">
        <f aca="false">IF(E8=0,0,F8/E8)</f>
        <v>0</v>
      </c>
    </row>
    <row r="9" customFormat="false" ht="15" hidden="false" customHeight="true" outlineLevel="0" collapsed="false">
      <c r="B9" s="3"/>
      <c r="C9" s="3" t="s">
        <v>14</v>
      </c>
      <c r="E9" s="10" t="n">
        <v>0</v>
      </c>
      <c r="F9" s="11" t="n">
        <f aca="false">'Progress Tracker'!U9</f>
        <v>0</v>
      </c>
      <c r="G9" s="12" t="n">
        <f aca="false">IF(E9=0,0,F9/E9)</f>
        <v>0</v>
      </c>
    </row>
    <row r="10" customFormat="false" ht="15" hidden="false" customHeight="true" outlineLevel="0" collapsed="false">
      <c r="B10" s="3"/>
      <c r="C10" s="3" t="s">
        <v>15</v>
      </c>
      <c r="E10" s="10" t="n">
        <v>375000</v>
      </c>
      <c r="F10" s="11" t="n">
        <f aca="false">'Progress Tracker'!U10</f>
        <v>0</v>
      </c>
      <c r="G10" s="12" t="n">
        <f aca="false">IF(E10=0,0,F10/E10)</f>
        <v>0</v>
      </c>
    </row>
    <row r="11" customFormat="false" ht="15" hidden="false" customHeight="true" outlineLevel="0" collapsed="false">
      <c r="A11" s="1" t="s">
        <v>16</v>
      </c>
      <c r="B11" s="1" t="s">
        <v>17</v>
      </c>
      <c r="D11" s="13" t="n">
        <v>2000</v>
      </c>
      <c r="E11" s="14"/>
      <c r="F11" s="14" t="n">
        <f aca="false">'Progress Tracker'!U11</f>
        <v>0</v>
      </c>
      <c r="G11" s="9" t="n">
        <f aca="false">IF(D11=0,0,F11/D11)</f>
        <v>0</v>
      </c>
    </row>
    <row r="12" customFormat="false" ht="15" hidden="false" customHeight="true" outlineLevel="0" collapsed="false">
      <c r="A12" s="1" t="s">
        <v>18</v>
      </c>
      <c r="B12" s="1" t="s">
        <v>19</v>
      </c>
      <c r="D12" s="13" t="n">
        <v>20000</v>
      </c>
      <c r="E12" s="14"/>
      <c r="F12" s="14" t="n">
        <f aca="false">'Progress Tracker'!U12</f>
        <v>0</v>
      </c>
      <c r="G12" s="9" t="n">
        <f aca="false">IF(D12=0,0,F12/D12)</f>
        <v>0</v>
      </c>
    </row>
    <row r="13" customFormat="false" ht="15" hidden="false" customHeight="true" outlineLevel="0" collapsed="false">
      <c r="A13" s="1" t="s">
        <v>20</v>
      </c>
      <c r="B13" s="1" t="s">
        <v>21</v>
      </c>
      <c r="D13" s="13" t="n">
        <v>0</v>
      </c>
      <c r="E13" s="14"/>
      <c r="F13" s="14" t="n">
        <f aca="false">'Progress Tracker'!U13</f>
        <v>0</v>
      </c>
      <c r="G13" s="9" t="n">
        <f aca="false">IF(D13=0,0,F13/D13)</f>
        <v>0</v>
      </c>
    </row>
    <row r="14" customFormat="false" ht="15" hidden="false" customHeight="true" outlineLevel="0" collapsed="false">
      <c r="A14" s="1" t="s">
        <v>22</v>
      </c>
      <c r="B14" s="1" t="s">
        <v>23</v>
      </c>
      <c r="D14" s="13" t="n">
        <v>100000</v>
      </c>
      <c r="E14" s="14"/>
      <c r="F14" s="14" t="n">
        <f aca="false">'Progress Tracker'!U14</f>
        <v>0</v>
      </c>
      <c r="G14" s="9" t="n">
        <f aca="false">IF(D14=0,0,F14/D14)</f>
        <v>0</v>
      </c>
    </row>
    <row r="15" customFormat="false" ht="15" hidden="false" customHeight="true" outlineLevel="0" collapsed="false">
      <c r="A15" s="1" t="s">
        <v>24</v>
      </c>
      <c r="B15" s="7" t="s">
        <v>25</v>
      </c>
      <c r="D15" s="8" t="n">
        <f aca="false">SUM(E16:E17)</f>
        <v>10000</v>
      </c>
      <c r="E15" s="8"/>
      <c r="F15" s="8" t="n">
        <f aca="false">SUM(F16:F17)</f>
        <v>0</v>
      </c>
      <c r="G15" s="9" t="n">
        <f aca="false">IF(D15=0,0,F15/D15)</f>
        <v>0</v>
      </c>
    </row>
    <row r="16" customFormat="false" ht="15" hidden="false" customHeight="true" outlineLevel="0" collapsed="false">
      <c r="A16" s="1" t="s">
        <v>26</v>
      </c>
      <c r="B16" s="3"/>
      <c r="C16" s="3" t="s">
        <v>27</v>
      </c>
      <c r="E16" s="15" t="n">
        <v>0</v>
      </c>
      <c r="F16" s="16" t="n">
        <f aca="false">'Progress Tracker'!U16</f>
        <v>0</v>
      </c>
      <c r="G16" s="17" t="n">
        <f aca="false">IF(E16=0,0,F16/E16)</f>
        <v>0</v>
      </c>
    </row>
    <row r="17" customFormat="false" ht="15" hidden="false" customHeight="true" outlineLevel="0" collapsed="false">
      <c r="A17" s="1" t="s">
        <v>28</v>
      </c>
      <c r="B17" s="3"/>
      <c r="C17" s="3" t="s">
        <v>29</v>
      </c>
      <c r="E17" s="15" t="n">
        <v>10000</v>
      </c>
      <c r="F17" s="16" t="n">
        <f aca="false">'Progress Tracker'!U17</f>
        <v>0</v>
      </c>
      <c r="G17" s="17" t="n">
        <f aca="false">IF(E17=0,0,F17/E17)</f>
        <v>0</v>
      </c>
    </row>
    <row r="18" customFormat="false" ht="15" hidden="false" customHeight="true" outlineLevel="0" collapsed="false">
      <c r="A18" s="1" t="s">
        <v>30</v>
      </c>
      <c r="B18" s="1" t="s">
        <v>31</v>
      </c>
      <c r="D18" s="13" t="n">
        <v>0</v>
      </c>
      <c r="E18" s="14"/>
      <c r="F18" s="14" t="n">
        <f aca="false">'Progress Tracker'!U18</f>
        <v>0</v>
      </c>
      <c r="G18" s="9" t="n">
        <f aca="false">IF(D18=0,0,F18/D18)</f>
        <v>0</v>
      </c>
    </row>
    <row r="19" customFormat="false" ht="15" hidden="false" customHeight="true" outlineLevel="0" collapsed="false">
      <c r="A19" s="6" t="s">
        <v>32</v>
      </c>
      <c r="B19" s="18"/>
      <c r="C19" s="18"/>
      <c r="D19" s="19" t="n">
        <f aca="false">D6+D11+D12+D13+D14+D15+D18</f>
        <v>507000</v>
      </c>
      <c r="E19" s="20" t="s">
        <v>33</v>
      </c>
      <c r="F19" s="19" t="n">
        <f aca="false">F6+F11+F12+F13+F14+F15+F18</f>
        <v>0</v>
      </c>
      <c r="G19" s="21" t="n">
        <f aca="false">IF(D19=0,0,F19/D19)</f>
        <v>0</v>
      </c>
    </row>
    <row r="20" customFormat="false" ht="15" hidden="false" customHeight="true" outlineLevel="0" collapsed="false"/>
    <row r="21" customFormat="false" ht="15" hidden="false" customHeight="true" outlineLevel="0" collapsed="false">
      <c r="A21" s="22" t="s">
        <v>34</v>
      </c>
      <c r="B21" s="22"/>
      <c r="C21" s="22"/>
      <c r="D21" s="22"/>
      <c r="E21" s="22"/>
      <c r="F21" s="22"/>
      <c r="G21" s="22"/>
    </row>
    <row r="22" customFormat="false" ht="15" hidden="false" customHeight="true" outlineLevel="0" collapsed="false">
      <c r="A22" s="1" t="s">
        <v>35</v>
      </c>
      <c r="B22" s="1" t="s">
        <v>36</v>
      </c>
      <c r="C22" s="1" t="s">
        <v>37</v>
      </c>
      <c r="D22" s="13" t="n">
        <v>300</v>
      </c>
      <c r="E22" s="14"/>
      <c r="F22" s="14" t="n">
        <f aca="false">'Progress Tracker'!U22</f>
        <v>0</v>
      </c>
      <c r="G22" s="9" t="n">
        <f aca="false">IF(D22=0,0,F22/D22)</f>
        <v>0</v>
      </c>
    </row>
    <row r="23" customFormat="false" ht="15" hidden="false" customHeight="true" outlineLevel="0" collapsed="false">
      <c r="A23" s="1" t="s">
        <v>38</v>
      </c>
      <c r="B23" s="1" t="s">
        <v>39</v>
      </c>
      <c r="C23" s="1" t="s">
        <v>37</v>
      </c>
      <c r="D23" s="13" t="n">
        <v>300</v>
      </c>
      <c r="E23" s="14"/>
      <c r="F23" s="14" t="n">
        <f aca="false">'Progress Tracker'!U23</f>
        <v>0</v>
      </c>
      <c r="G23" s="9" t="n">
        <f aca="false">IF(D23=0,0,F23/D23)</f>
        <v>0</v>
      </c>
    </row>
    <row r="24" customFormat="false" ht="15" hidden="false" customHeight="true" outlineLevel="0" collapsed="false">
      <c r="A24" s="1" t="s">
        <v>40</v>
      </c>
      <c r="B24" s="1" t="s">
        <v>41</v>
      </c>
      <c r="C24" s="1" t="s">
        <v>37</v>
      </c>
      <c r="D24" s="13" t="n">
        <v>5000</v>
      </c>
      <c r="E24" s="14"/>
      <c r="F24" s="14" t="n">
        <f aca="false">'Progress Tracker'!U24</f>
        <v>0</v>
      </c>
      <c r="G24" s="9" t="n">
        <f aca="false">IF(D24=0,0,F24/D24)</f>
        <v>0</v>
      </c>
    </row>
    <row r="25" customFormat="false" ht="15" hidden="false" customHeight="true" outlineLevel="0" collapsed="false">
      <c r="A25" s="1" t="s">
        <v>42</v>
      </c>
      <c r="B25" s="1" t="s">
        <v>43</v>
      </c>
      <c r="C25" s="1" t="s">
        <v>37</v>
      </c>
      <c r="D25" s="13" t="n">
        <v>25000</v>
      </c>
      <c r="E25" s="14"/>
      <c r="F25" s="14" t="n">
        <f aca="false">'Progress Tracker'!U25</f>
        <v>0</v>
      </c>
      <c r="G25" s="9" t="n">
        <f aca="false">IF(D25=0,0,F25/D25)</f>
        <v>0</v>
      </c>
    </row>
    <row r="26" customFormat="false" ht="15" hidden="false" customHeight="true" outlineLevel="0" collapsed="false">
      <c r="A26" s="1" t="s">
        <v>44</v>
      </c>
      <c r="B26" s="1" t="s">
        <v>45</v>
      </c>
      <c r="C26" s="1" t="s">
        <v>46</v>
      </c>
      <c r="D26" s="13" t="n">
        <v>4500</v>
      </c>
      <c r="E26" s="14"/>
      <c r="F26" s="14" t="n">
        <f aca="false">'Progress Tracker'!U26</f>
        <v>0</v>
      </c>
      <c r="G26" s="9" t="n">
        <f aca="false">IF(D26=0,0,F26/D26)</f>
        <v>0</v>
      </c>
    </row>
    <row r="27" customFormat="false" ht="15" hidden="false" customHeight="true" outlineLevel="0" collapsed="false">
      <c r="A27" s="1" t="s">
        <v>47</v>
      </c>
      <c r="B27" s="1" t="s">
        <v>48</v>
      </c>
      <c r="C27" s="1" t="s">
        <v>46</v>
      </c>
      <c r="D27" s="13" t="n">
        <v>7000</v>
      </c>
      <c r="E27" s="14"/>
      <c r="F27" s="14" t="n">
        <f aca="false">'Progress Tracker'!U27</f>
        <v>0</v>
      </c>
      <c r="G27" s="9" t="n">
        <f aca="false">IF(D27=0,0,F27/D27)</f>
        <v>0</v>
      </c>
    </row>
    <row r="28" customFormat="false" ht="15" hidden="false" customHeight="true" outlineLevel="0" collapsed="false">
      <c r="A28" s="1" t="s">
        <v>49</v>
      </c>
      <c r="B28" s="1" t="s">
        <v>50</v>
      </c>
      <c r="C28" s="1" t="s">
        <v>46</v>
      </c>
      <c r="D28" s="13" t="n">
        <v>3500</v>
      </c>
      <c r="E28" s="14"/>
      <c r="F28" s="14" t="n">
        <f aca="false">'Progress Tracker'!U28</f>
        <v>0</v>
      </c>
      <c r="G28" s="9" t="n">
        <f aca="false">IF(D28=0,0,F28/D28)</f>
        <v>0</v>
      </c>
    </row>
    <row r="29" customFormat="false" ht="15" hidden="false" customHeight="true" outlineLevel="0" collapsed="false">
      <c r="A29" s="1" t="s">
        <v>51</v>
      </c>
      <c r="B29" s="1" t="s">
        <v>52</v>
      </c>
      <c r="C29" s="1" t="s">
        <v>53</v>
      </c>
      <c r="D29" s="13" t="n">
        <v>2500</v>
      </c>
      <c r="E29" s="14"/>
      <c r="F29" s="14" t="n">
        <f aca="false">'Progress Tracker'!U29</f>
        <v>0</v>
      </c>
      <c r="G29" s="9" t="n">
        <f aca="false">IF(D29=0,0,F29/D29)</f>
        <v>0</v>
      </c>
    </row>
    <row r="30" customFormat="false" ht="15" hidden="false" customHeight="true" outlineLevel="0" collapsed="false">
      <c r="A30" s="1" t="s">
        <v>54</v>
      </c>
      <c r="B30" s="1" t="s">
        <v>55</v>
      </c>
      <c r="C30" s="1" t="s">
        <v>46</v>
      </c>
      <c r="D30" s="13" t="n">
        <v>350</v>
      </c>
      <c r="E30" s="14"/>
      <c r="F30" s="14" t="n">
        <f aca="false">'Progress Tracker'!U30</f>
        <v>0</v>
      </c>
      <c r="G30" s="9" t="n">
        <f aca="false">IF(D30=0,0,F30/D30)</f>
        <v>0</v>
      </c>
    </row>
    <row r="31" customFormat="false" ht="15" hidden="false" customHeight="true" outlineLevel="0" collapsed="false">
      <c r="A31" s="1" t="s">
        <v>56</v>
      </c>
      <c r="B31" s="1" t="s">
        <v>57</v>
      </c>
      <c r="C31" s="1" t="s">
        <v>46</v>
      </c>
      <c r="D31" s="13" t="n">
        <v>3300</v>
      </c>
      <c r="E31" s="14"/>
      <c r="F31" s="14" t="n">
        <f aca="false">'Progress Tracker'!U31</f>
        <v>0</v>
      </c>
      <c r="G31" s="9" t="n">
        <f aca="false">IF(D31=0,0,F31/D31)</f>
        <v>0</v>
      </c>
    </row>
    <row r="32" customFormat="false" ht="15" hidden="false" customHeight="true" outlineLevel="0" collapsed="false">
      <c r="A32" s="1" t="s">
        <v>58</v>
      </c>
      <c r="B32" s="1" t="s">
        <v>59</v>
      </c>
      <c r="C32" s="1" t="s">
        <v>46</v>
      </c>
      <c r="D32" s="13" t="n">
        <v>200</v>
      </c>
      <c r="E32" s="14"/>
      <c r="F32" s="14" t="n">
        <f aca="false">'Progress Tracker'!U32</f>
        <v>0</v>
      </c>
      <c r="G32" s="9" t="n">
        <f aca="false">IF(D32=0,0,F32/D32)</f>
        <v>0</v>
      </c>
    </row>
    <row r="33" customFormat="false" ht="15" hidden="false" customHeight="true" outlineLevel="0" collapsed="false">
      <c r="A33" s="1" t="s">
        <v>60</v>
      </c>
      <c r="B33" s="1" t="s">
        <v>61</v>
      </c>
      <c r="C33" s="1" t="s">
        <v>53</v>
      </c>
      <c r="D33" s="13" t="n">
        <v>18000</v>
      </c>
      <c r="E33" s="14"/>
      <c r="F33" s="14" t="n">
        <f aca="false">'Progress Tracker'!U33</f>
        <v>0</v>
      </c>
      <c r="G33" s="9" t="n">
        <f aca="false">IF(D33=0,0,F33/D33)</f>
        <v>0</v>
      </c>
    </row>
    <row r="34" customFormat="false" ht="15" hidden="false" customHeight="true" outlineLevel="0" collapsed="false">
      <c r="A34" s="1" t="s">
        <v>62</v>
      </c>
      <c r="B34" s="1" t="s">
        <v>63</v>
      </c>
      <c r="C34" s="1" t="s">
        <v>53</v>
      </c>
      <c r="D34" s="13" t="n">
        <v>300</v>
      </c>
      <c r="E34" s="14"/>
      <c r="F34" s="14" t="n">
        <f aca="false">'Progress Tracker'!U34</f>
        <v>0</v>
      </c>
      <c r="G34" s="9" t="n">
        <f aca="false">IF(D34=0,0,F34/D34)</f>
        <v>0</v>
      </c>
    </row>
    <row r="35" customFormat="false" ht="15" hidden="false" customHeight="true" outlineLevel="0" collapsed="false">
      <c r="A35" s="1" t="s">
        <v>64</v>
      </c>
      <c r="B35" s="1" t="s">
        <v>65</v>
      </c>
      <c r="C35" s="1" t="s">
        <v>53</v>
      </c>
      <c r="D35" s="13" t="n">
        <v>1800</v>
      </c>
      <c r="E35" s="14"/>
      <c r="F35" s="14" t="n">
        <f aca="false">'Progress Tracker'!U35</f>
        <v>0</v>
      </c>
      <c r="G35" s="9" t="n">
        <f aca="false">IF(D35=0,0,F35/D35)</f>
        <v>0</v>
      </c>
    </row>
    <row r="36" customFormat="false" ht="15" hidden="false" customHeight="true" outlineLevel="0" collapsed="false">
      <c r="A36" s="1" t="s">
        <v>66</v>
      </c>
      <c r="B36" s="1" t="s">
        <v>67</v>
      </c>
      <c r="C36" s="1" t="s">
        <v>53</v>
      </c>
      <c r="D36" s="13" t="n">
        <v>5000</v>
      </c>
      <c r="E36" s="14"/>
      <c r="F36" s="14" t="n">
        <f aca="false">'Progress Tracker'!U36</f>
        <v>0</v>
      </c>
      <c r="G36" s="9" t="n">
        <f aca="false">IF(D36=0,0,F36/D36)</f>
        <v>0</v>
      </c>
    </row>
    <row r="37" customFormat="false" ht="15" hidden="false" customHeight="true" outlineLevel="0" collapsed="false">
      <c r="A37" s="1" t="s">
        <v>68</v>
      </c>
      <c r="B37" s="1" t="s">
        <v>69</v>
      </c>
      <c r="C37" s="1" t="s">
        <v>46</v>
      </c>
      <c r="D37" s="13" t="n">
        <v>1800</v>
      </c>
      <c r="E37" s="14"/>
      <c r="F37" s="14" t="n">
        <f aca="false">'Progress Tracker'!U37</f>
        <v>0</v>
      </c>
      <c r="G37" s="9" t="n">
        <f aca="false">IF(D37=0,0,F37/D37)</f>
        <v>0</v>
      </c>
    </row>
    <row r="38" customFormat="false" ht="15" hidden="false" customHeight="true" outlineLevel="0" collapsed="false">
      <c r="A38" s="1" t="s">
        <v>70</v>
      </c>
      <c r="B38" s="1" t="s">
        <v>71</v>
      </c>
      <c r="C38" s="1" t="s">
        <v>46</v>
      </c>
      <c r="D38" s="13" t="n">
        <v>1000</v>
      </c>
      <c r="E38" s="14"/>
      <c r="F38" s="14" t="n">
        <f aca="false">'Progress Tracker'!U38</f>
        <v>0</v>
      </c>
      <c r="G38" s="9" t="n">
        <f aca="false">IF(D38=0,0,F38/D38)</f>
        <v>0</v>
      </c>
    </row>
    <row r="39" customFormat="false" ht="15" hidden="false" customHeight="true" outlineLevel="0" collapsed="false">
      <c r="A39" s="1" t="s">
        <v>72</v>
      </c>
      <c r="B39" s="1" t="s">
        <v>73</v>
      </c>
      <c r="C39" s="1" t="s">
        <v>53</v>
      </c>
      <c r="D39" s="13" t="n">
        <v>250</v>
      </c>
      <c r="E39" s="14"/>
      <c r="F39" s="14" t="n">
        <f aca="false">'Progress Tracker'!U39</f>
        <v>0</v>
      </c>
      <c r="G39" s="9" t="n">
        <f aca="false">IF(D39=0,0,F39/D39)</f>
        <v>0</v>
      </c>
    </row>
    <row r="40" customFormat="false" ht="15" hidden="false" customHeight="true" outlineLevel="0" collapsed="false">
      <c r="A40" s="1" t="s">
        <v>74</v>
      </c>
      <c r="B40" s="1" t="s">
        <v>75</v>
      </c>
      <c r="C40" s="1" t="s">
        <v>76</v>
      </c>
      <c r="D40" s="13" t="n">
        <v>50000</v>
      </c>
      <c r="E40" s="14"/>
      <c r="F40" s="14" t="n">
        <f aca="false">'Progress Tracker'!U40</f>
        <v>0</v>
      </c>
      <c r="G40" s="9" t="n">
        <f aca="false">IF(D40=0,0,F40/D40)</f>
        <v>0</v>
      </c>
    </row>
    <row r="41" customFormat="false" ht="15" hidden="false" customHeight="true" outlineLevel="0" collapsed="false">
      <c r="A41" s="1" t="s">
        <v>77</v>
      </c>
      <c r="B41" s="1" t="s">
        <v>78</v>
      </c>
      <c r="C41" s="1" t="s">
        <v>37</v>
      </c>
      <c r="D41" s="13" t="n">
        <v>79783</v>
      </c>
      <c r="E41" s="14"/>
      <c r="F41" s="14" t="n">
        <f aca="false">'Progress Tracker'!U41</f>
        <v>0</v>
      </c>
      <c r="G41" s="9" t="n">
        <f aca="false">IF(D41=0,0,F41/D41)</f>
        <v>0</v>
      </c>
    </row>
    <row r="42" customFormat="false" ht="15" hidden="false" customHeight="true" outlineLevel="0" collapsed="false">
      <c r="A42" s="1" t="s">
        <v>79</v>
      </c>
      <c r="B42" s="1" t="s">
        <v>80</v>
      </c>
      <c r="C42" s="1" t="s">
        <v>53</v>
      </c>
      <c r="D42" s="13" t="n">
        <v>22795</v>
      </c>
      <c r="E42" s="14"/>
      <c r="F42" s="14" t="n">
        <f aca="false">'Progress Tracker'!U42</f>
        <v>0</v>
      </c>
      <c r="G42" s="9" t="n">
        <f aca="false">IF(D42=0,0,F42/D42)</f>
        <v>0</v>
      </c>
    </row>
    <row r="43" customFormat="false" ht="15" hidden="false" customHeight="true" outlineLevel="0" collapsed="false">
      <c r="A43" s="1" t="s">
        <v>81</v>
      </c>
      <c r="B43" s="1" t="s">
        <v>82</v>
      </c>
      <c r="C43" s="1" t="s">
        <v>46</v>
      </c>
      <c r="D43" s="13" t="n">
        <v>22795</v>
      </c>
      <c r="E43" s="14"/>
      <c r="F43" s="14" t="n">
        <f aca="false">'Progress Tracker'!U43</f>
        <v>0</v>
      </c>
      <c r="G43" s="9" t="n">
        <f aca="false">IF(D43=0,0,F43/D43)</f>
        <v>0</v>
      </c>
    </row>
    <row r="44" customFormat="false" ht="15" hidden="false" customHeight="true" outlineLevel="0" collapsed="false">
      <c r="A44" s="1" t="s">
        <v>83</v>
      </c>
      <c r="B44" s="1" t="s">
        <v>84</v>
      </c>
      <c r="C44" s="1" t="s">
        <v>37</v>
      </c>
      <c r="D44" s="13" t="n">
        <v>50150</v>
      </c>
      <c r="E44" s="14"/>
      <c r="F44" s="14" t="n">
        <f aca="false">'Progress Tracker'!U44</f>
        <v>0</v>
      </c>
      <c r="G44" s="9" t="n">
        <f aca="false">IF(D44=0,0,F44/D44)</f>
        <v>0</v>
      </c>
    </row>
    <row r="45" customFormat="false" ht="15" hidden="false" customHeight="true" outlineLevel="0" collapsed="false">
      <c r="A45" s="1" t="s">
        <v>85</v>
      </c>
      <c r="B45" s="1" t="s">
        <v>86</v>
      </c>
      <c r="C45" s="1" t="s">
        <v>53</v>
      </c>
      <c r="D45" s="13" t="n">
        <v>75224</v>
      </c>
      <c r="E45" s="14"/>
      <c r="F45" s="14" t="n">
        <f aca="false">'Progress Tracker'!U45</f>
        <v>0</v>
      </c>
      <c r="G45" s="9" t="n">
        <f aca="false">IF(D45=0,0,F45/D45)</f>
        <v>0</v>
      </c>
    </row>
    <row r="46" customFormat="false" ht="15" hidden="false" customHeight="true" outlineLevel="0" collapsed="false">
      <c r="A46" s="1" t="s">
        <v>87</v>
      </c>
      <c r="B46" s="1" t="s">
        <v>88</v>
      </c>
      <c r="C46" s="1" t="s">
        <v>53</v>
      </c>
      <c r="D46" s="13" t="n">
        <v>22400</v>
      </c>
      <c r="E46" s="14"/>
      <c r="F46" s="14" t="n">
        <f aca="false">'Progress Tracker'!U46</f>
        <v>0</v>
      </c>
      <c r="G46" s="9" t="n">
        <f aca="false">IF(D46=0,0,F46/D46)</f>
        <v>0</v>
      </c>
    </row>
    <row r="47" customFormat="false" ht="15" hidden="false" customHeight="true" outlineLevel="0" collapsed="false">
      <c r="A47" s="1" t="s">
        <v>89</v>
      </c>
      <c r="B47" s="1" t="s">
        <v>90</v>
      </c>
      <c r="C47" s="1" t="s">
        <v>46</v>
      </c>
      <c r="D47" s="13" t="n">
        <v>5600</v>
      </c>
      <c r="E47" s="14"/>
      <c r="F47" s="14" t="n">
        <f aca="false">'Progress Tracker'!U47</f>
        <v>0</v>
      </c>
      <c r="G47" s="9" t="n">
        <f aca="false">IF(D47=0,0,F47/D47)</f>
        <v>0</v>
      </c>
    </row>
    <row r="48" customFormat="false" ht="15" hidden="false" customHeight="true" outlineLevel="0" collapsed="false">
      <c r="A48" s="1" t="s">
        <v>91</v>
      </c>
      <c r="B48" s="1" t="s">
        <v>92</v>
      </c>
      <c r="C48" s="1" t="s">
        <v>37</v>
      </c>
      <c r="D48" s="13" t="n">
        <v>25000</v>
      </c>
      <c r="E48" s="14"/>
      <c r="F48" s="14" t="n">
        <f aca="false">'Progress Tracker'!U48</f>
        <v>0</v>
      </c>
      <c r="G48" s="9" t="n">
        <f aca="false">IF(D48=0,0,F48/D48)</f>
        <v>0</v>
      </c>
    </row>
    <row r="49" customFormat="false" ht="15" hidden="false" customHeight="true" outlineLevel="0" collapsed="false">
      <c r="A49" s="1" t="s">
        <v>93</v>
      </c>
      <c r="B49" s="1" t="s">
        <v>94</v>
      </c>
      <c r="C49" s="1" t="s">
        <v>53</v>
      </c>
      <c r="D49" s="13" t="n">
        <v>25000</v>
      </c>
      <c r="E49" s="14"/>
      <c r="F49" s="14" t="n">
        <f aca="false">'Progress Tracker'!U49</f>
        <v>0</v>
      </c>
      <c r="G49" s="9" t="n">
        <f aca="false">IF(D49=0,0,F49/D49)</f>
        <v>0</v>
      </c>
    </row>
    <row r="50" customFormat="false" ht="15" hidden="false" customHeight="true" outlineLevel="0" collapsed="false">
      <c r="A50" s="1" t="s">
        <v>95</v>
      </c>
      <c r="B50" s="1" t="s">
        <v>96</v>
      </c>
      <c r="C50" s="1" t="s">
        <v>46</v>
      </c>
      <c r="D50" s="13" t="n">
        <v>20000</v>
      </c>
      <c r="E50" s="14"/>
      <c r="F50" s="14" t="n">
        <f aca="false">'Progress Tracker'!U50</f>
        <v>0</v>
      </c>
      <c r="G50" s="9" t="n">
        <f aca="false">IF(D50=0,0,F50/D50)</f>
        <v>0</v>
      </c>
    </row>
    <row r="51" customFormat="false" ht="15.75" hidden="false" customHeight="true" outlineLevel="0" collapsed="false"/>
    <row r="52" customFormat="false" ht="15" hidden="false" customHeight="true" outlineLevel="0" collapsed="false">
      <c r="A52" s="22" t="s">
        <v>97</v>
      </c>
      <c r="B52" s="23"/>
      <c r="C52" s="23"/>
      <c r="D52" s="24" t="n">
        <f aca="false">SUM(D22:D50)</f>
        <v>478847</v>
      </c>
      <c r="E52" s="25" t="s">
        <v>33</v>
      </c>
      <c r="F52" s="24" t="n">
        <f aca="false">SUM(F22:F50)</f>
        <v>0</v>
      </c>
      <c r="G52" s="26" t="n">
        <f aca="false">IF(D52=0,0,F52/D52)</f>
        <v>0</v>
      </c>
    </row>
    <row r="53" customFormat="false" ht="15.75" hidden="false" customHeight="true" outlineLevel="0" collapsed="false"/>
    <row r="54" customFormat="false" ht="15" hidden="false" customHeight="true" outlineLevel="0" collapsed="false">
      <c r="A54" s="22" t="s">
        <v>98</v>
      </c>
      <c r="B54" s="22"/>
      <c r="C54" s="22"/>
      <c r="D54" s="22"/>
      <c r="E54" s="22"/>
      <c r="F54" s="22"/>
      <c r="G54" s="22"/>
    </row>
    <row r="55" customFormat="false" ht="15" hidden="false" customHeight="true" outlineLevel="0" collapsed="false">
      <c r="B55" s="27" t="s">
        <v>99</v>
      </c>
      <c r="E55" s="28" t="n">
        <f aca="false">SUMIF(C22:C50,"Development",D22:D50)</f>
        <v>185533</v>
      </c>
      <c r="F55" s="28" t="n">
        <f aca="false">SUMIF(C22:C50,"Development",F22:F50)</f>
        <v>0</v>
      </c>
    </row>
    <row r="56" customFormat="false" ht="15" hidden="false" customHeight="true" outlineLevel="0" collapsed="false">
      <c r="B56" s="27" t="s">
        <v>100</v>
      </c>
      <c r="E56" s="28" t="n">
        <f aca="false">SUMIF(C22:C50,"Programs",D22:D50)</f>
        <v>173269</v>
      </c>
      <c r="F56" s="28" t="n">
        <f aca="false">SUMIF(C22:C50,"Programs",F22:F50)</f>
        <v>0</v>
      </c>
    </row>
    <row r="57" customFormat="false" ht="15" hidden="false" customHeight="true" outlineLevel="0" collapsed="false">
      <c r="B57" s="27" t="s">
        <v>46</v>
      </c>
      <c r="E57" s="28" t="n">
        <f aca="false">SUMIF(C22:C50,"Overhead",D22:D50)</f>
        <v>70045</v>
      </c>
      <c r="F57" s="28" t="n">
        <f aca="false">SUMIF(C22:C50,"Overhead",F22:F50)</f>
        <v>0</v>
      </c>
    </row>
    <row r="58" customFormat="false" ht="15" hidden="false" customHeight="true" outlineLevel="0" collapsed="false">
      <c r="B58" s="27" t="s">
        <v>76</v>
      </c>
      <c r="E58" s="28" t="n">
        <f aca="false">SUMIF(C22:C50,"Grantmaking",D22:D50)</f>
        <v>50000</v>
      </c>
      <c r="F58" s="28" t="n">
        <f aca="false">SUMIF(C22:C50,"Grantmaking",F22:F50)</f>
        <v>0</v>
      </c>
    </row>
    <row r="59" customFormat="false" ht="15.75" hidden="false" customHeight="true" outlineLevel="0" collapsed="false"/>
    <row r="60" customFormat="false" ht="15.75" hidden="false" customHeight="true" outlineLevel="0" collapsed="false">
      <c r="A60" s="29" t="s">
        <v>101</v>
      </c>
      <c r="B60" s="30"/>
      <c r="C60" s="30"/>
      <c r="D60" s="31" t="n">
        <f aca="false">D19-D52</f>
        <v>28153</v>
      </c>
      <c r="E60" s="32" t="s">
        <v>33</v>
      </c>
      <c r="F60" s="33" t="n">
        <f aca="false">F19-F52</f>
        <v>0</v>
      </c>
      <c r="G60" s="34" t="n">
        <f aca="false">IF(D60=0,0,F60/D60)</f>
        <v>0</v>
      </c>
    </row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mergeCells count="4">
    <mergeCell ref="A1:G1"/>
    <mergeCell ref="A5:G5"/>
    <mergeCell ref="A21:G21"/>
    <mergeCell ref="A54:G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7" min="2" style="1" width="13"/>
    <col collapsed="false" customWidth="true" hidden="false" outlineLevel="0" max="8" min="8" style="1" width="13.29"/>
    <col collapsed="false" customWidth="true" hidden="false" outlineLevel="0" max="24" min="9" style="1" width="8.71"/>
  </cols>
  <sheetData>
    <row r="1" customFormat="false" ht="17.25" hidden="false" customHeight="true" outlineLevel="0" collapsed="false">
      <c r="A1" s="35" t="s">
        <v>102</v>
      </c>
      <c r="B1" s="35"/>
      <c r="C1" s="35"/>
      <c r="D1" s="35"/>
      <c r="E1" s="35"/>
      <c r="F1" s="35"/>
      <c r="G1" s="35"/>
    </row>
    <row r="3" customFormat="false" ht="15" hidden="false" customHeight="true" outlineLevel="0" collapsed="false">
      <c r="A3" s="36" t="s">
        <v>103</v>
      </c>
      <c r="B3" s="36" t="s">
        <v>104</v>
      </c>
      <c r="C3" s="36" t="s">
        <v>105</v>
      </c>
      <c r="D3" s="36" t="s">
        <v>106</v>
      </c>
      <c r="E3" s="36" t="s">
        <v>107</v>
      </c>
      <c r="F3" s="36" t="s">
        <v>108</v>
      </c>
      <c r="G3" s="36" t="s">
        <v>109</v>
      </c>
      <c r="H3" s="36" t="s">
        <v>110</v>
      </c>
      <c r="I3" s="36" t="s">
        <v>111</v>
      </c>
    </row>
    <row r="4" customFormat="false" ht="15" hidden="false" customHeight="true" outlineLevel="0" collapsed="false">
      <c r="A4" s="37" t="s">
        <v>11</v>
      </c>
      <c r="B4" s="38" t="n">
        <v>74317</v>
      </c>
      <c r="C4" s="38" t="n">
        <v>82970</v>
      </c>
      <c r="D4" s="38" t="n">
        <v>120435</v>
      </c>
      <c r="E4" s="38" t="n">
        <v>96823</v>
      </c>
      <c r="F4" s="38" t="n">
        <v>362109</v>
      </c>
      <c r="G4" s="39" t="n">
        <f aca="false">SUM(G5:G8)</f>
        <v>375000</v>
      </c>
      <c r="H4" s="40" t="n">
        <f aca="false">'Progress Tracker'!U6</f>
        <v>0</v>
      </c>
      <c r="I4" s="41" t="n">
        <f aca="false">IF(G4=0,0,H4/G4)</f>
        <v>0</v>
      </c>
    </row>
    <row r="5" customFormat="false" ht="15" hidden="false" customHeight="true" outlineLevel="0" collapsed="false">
      <c r="A5" s="42" t="s">
        <v>12</v>
      </c>
      <c r="B5" s="43" t="n">
        <v>0</v>
      </c>
      <c r="C5" s="43" t="n">
        <v>0</v>
      </c>
      <c r="D5" s="43" t="n">
        <v>0</v>
      </c>
      <c r="E5" s="43" t="n">
        <v>0</v>
      </c>
      <c r="F5" s="43" t="n">
        <v>0</v>
      </c>
      <c r="G5" s="44" t="n">
        <v>0</v>
      </c>
      <c r="H5" s="45" t="n">
        <f aca="false">'Progress Tracker'!U7</f>
        <v>0</v>
      </c>
      <c r="I5" s="46" t="n">
        <f aca="false">IF(G5=0,0,H5/G5)</f>
        <v>0</v>
      </c>
    </row>
    <row r="6" customFormat="false" ht="15" hidden="false" customHeight="true" outlineLevel="0" collapsed="false">
      <c r="A6" s="42" t="s">
        <v>13</v>
      </c>
      <c r="B6" s="43" t="n">
        <v>0</v>
      </c>
      <c r="C6" s="43" t="n">
        <v>0</v>
      </c>
      <c r="D6" s="43" t="n">
        <v>0</v>
      </c>
      <c r="E6" s="43" t="n">
        <v>0</v>
      </c>
      <c r="F6" s="43" t="n">
        <v>0</v>
      </c>
      <c r="G6" s="44" t="n">
        <v>0</v>
      </c>
      <c r="H6" s="45" t="n">
        <f aca="false">'Progress Tracker'!U8</f>
        <v>0</v>
      </c>
      <c r="I6" s="46" t="n">
        <f aca="false">IF(G6=0,0,H6/G6)</f>
        <v>0</v>
      </c>
    </row>
    <row r="7" customFormat="false" ht="15" hidden="false" customHeight="true" outlineLevel="0" collapsed="false">
      <c r="A7" s="42" t="s">
        <v>14</v>
      </c>
      <c r="B7" s="43" t="n">
        <v>0</v>
      </c>
      <c r="C7" s="43" t="n">
        <v>0</v>
      </c>
      <c r="D7" s="43" t="n">
        <v>0</v>
      </c>
      <c r="E7" s="43" t="n">
        <v>0</v>
      </c>
      <c r="F7" s="43" t="n">
        <v>0</v>
      </c>
      <c r="G7" s="44" t="n">
        <v>0</v>
      </c>
      <c r="H7" s="45" t="n">
        <f aca="false">'Progress Tracker'!U9</f>
        <v>0</v>
      </c>
      <c r="I7" s="46" t="n">
        <f aca="false">IF(G7=0,0,H7/G7)</f>
        <v>0</v>
      </c>
    </row>
    <row r="8" customFormat="false" ht="15" hidden="false" customHeight="true" outlineLevel="0" collapsed="false">
      <c r="A8" s="42" t="s">
        <v>15</v>
      </c>
      <c r="B8" s="43" t="n">
        <v>0</v>
      </c>
      <c r="C8" s="43" t="n">
        <v>0</v>
      </c>
      <c r="D8" s="43" t="n">
        <v>0</v>
      </c>
      <c r="E8" s="43" t="n">
        <v>0</v>
      </c>
      <c r="F8" s="43" t="n">
        <v>0</v>
      </c>
      <c r="G8" s="44" t="n">
        <v>375000</v>
      </c>
      <c r="H8" s="45" t="n">
        <f aca="false">'Progress Tracker'!U10</f>
        <v>0</v>
      </c>
      <c r="I8" s="46" t="n">
        <f aca="false">IF(G8=0,0,H8/G8)</f>
        <v>0</v>
      </c>
    </row>
    <row r="9" customFormat="false" ht="15" hidden="false" customHeight="true" outlineLevel="0" collapsed="false">
      <c r="A9" s="47" t="s">
        <v>17</v>
      </c>
      <c r="B9" s="38" t="n">
        <v>963</v>
      </c>
      <c r="C9" s="38" t="n">
        <v>1443</v>
      </c>
      <c r="D9" s="38" t="n">
        <v>0</v>
      </c>
      <c r="E9" s="38" t="n">
        <v>0</v>
      </c>
      <c r="F9" s="38" t="n">
        <v>1100</v>
      </c>
      <c r="G9" s="39" t="n">
        <v>2000</v>
      </c>
      <c r="H9" s="40" t="n">
        <f aca="false">'Progress Tracker'!U11</f>
        <v>0</v>
      </c>
      <c r="I9" s="48" t="n">
        <f aca="false">IF(G9=0,0,H9/G9)</f>
        <v>0</v>
      </c>
    </row>
    <row r="10" customFormat="false" ht="15" hidden="false" customHeight="true" outlineLevel="0" collapsed="false">
      <c r="A10" s="47" t="s">
        <v>19</v>
      </c>
      <c r="B10" s="38" t="n">
        <v>0</v>
      </c>
      <c r="C10" s="38" t="n">
        <v>0</v>
      </c>
      <c r="D10" s="38" t="n">
        <v>0</v>
      </c>
      <c r="E10" s="38" t="n">
        <v>0</v>
      </c>
      <c r="F10" s="38" t="n">
        <v>9323</v>
      </c>
      <c r="G10" s="39" t="n">
        <v>20000</v>
      </c>
      <c r="H10" s="40" t="n">
        <f aca="false">'Progress Tracker'!U12</f>
        <v>0</v>
      </c>
      <c r="I10" s="48" t="n">
        <f aca="false">IF(G10=0,0,H10/G10)</f>
        <v>0</v>
      </c>
    </row>
    <row r="11" customFormat="false" ht="15" hidden="false" customHeight="true" outlineLevel="0" collapsed="false">
      <c r="A11" s="47" t="s">
        <v>21</v>
      </c>
      <c r="B11" s="38" t="n">
        <v>0</v>
      </c>
      <c r="C11" s="38" t="n">
        <v>0</v>
      </c>
      <c r="D11" s="38" t="n">
        <v>0</v>
      </c>
      <c r="E11" s="38" t="n">
        <v>0</v>
      </c>
      <c r="F11" s="38" t="n">
        <v>0</v>
      </c>
      <c r="G11" s="39" t="n">
        <v>0</v>
      </c>
      <c r="H11" s="40" t="n">
        <f aca="false">'Progress Tracker'!U13</f>
        <v>0</v>
      </c>
      <c r="I11" s="48" t="n">
        <f aca="false">IF(G11=0,0,H11/G11)</f>
        <v>0</v>
      </c>
    </row>
    <row r="12" customFormat="false" ht="15" hidden="false" customHeight="true" outlineLevel="0" collapsed="false">
      <c r="A12" s="47" t="s">
        <v>23</v>
      </c>
      <c r="B12" s="38" t="n">
        <v>0</v>
      </c>
      <c r="C12" s="38" t="n">
        <v>0</v>
      </c>
      <c r="D12" s="38" t="n">
        <v>0</v>
      </c>
      <c r="E12" s="38" t="n">
        <v>0</v>
      </c>
      <c r="F12" s="38" t="n">
        <v>94011</v>
      </c>
      <c r="G12" s="39" t="n">
        <v>100000</v>
      </c>
      <c r="H12" s="40" t="n">
        <f aca="false">'Progress Tracker'!U14</f>
        <v>0</v>
      </c>
      <c r="I12" s="48" t="n">
        <f aca="false">IF(G12=0,0,H12/G12)</f>
        <v>0</v>
      </c>
    </row>
    <row r="13" customFormat="false" ht="15" hidden="false" customHeight="true" outlineLevel="0" collapsed="false">
      <c r="A13" s="37" t="s">
        <v>25</v>
      </c>
      <c r="B13" s="38" t="n">
        <v>0</v>
      </c>
      <c r="C13" s="38" t="n">
        <v>0</v>
      </c>
      <c r="D13" s="38" t="n">
        <v>0</v>
      </c>
      <c r="E13" s="38" t="n">
        <v>0</v>
      </c>
      <c r="F13" s="38" t="n">
        <v>6513</v>
      </c>
      <c r="G13" s="39" t="n">
        <f aca="false">SUM(G14:G15)</f>
        <v>10000</v>
      </c>
      <c r="H13" s="40" t="n">
        <f aca="false">'Progress Tracker'!U15</f>
        <v>0</v>
      </c>
      <c r="I13" s="48" t="n">
        <f aca="false">IF(G13=0,0,H13/G13)</f>
        <v>0</v>
      </c>
    </row>
    <row r="14" customFormat="false" ht="15" hidden="false" customHeight="true" outlineLevel="0" collapsed="false">
      <c r="A14" s="42" t="s">
        <v>27</v>
      </c>
      <c r="B14" s="43" t="n">
        <v>0</v>
      </c>
      <c r="C14" s="43" t="n">
        <v>0</v>
      </c>
      <c r="D14" s="43" t="n">
        <v>0</v>
      </c>
      <c r="E14" s="43" t="n">
        <v>0</v>
      </c>
      <c r="F14" s="43" t="n">
        <v>0</v>
      </c>
      <c r="G14" s="44" t="n">
        <v>0</v>
      </c>
      <c r="H14" s="45" t="n">
        <f aca="false">'Progress Tracker'!U16</f>
        <v>0</v>
      </c>
      <c r="I14" s="46" t="n">
        <f aca="false">IF(G14=0,0,H14/G14)</f>
        <v>0</v>
      </c>
    </row>
    <row r="15" customFormat="false" ht="15" hidden="false" customHeight="true" outlineLevel="0" collapsed="false">
      <c r="A15" s="42" t="s">
        <v>112</v>
      </c>
      <c r="B15" s="43" t="n">
        <v>0</v>
      </c>
      <c r="C15" s="43" t="n">
        <v>0</v>
      </c>
      <c r="D15" s="43" t="n">
        <v>0</v>
      </c>
      <c r="E15" s="43" t="n">
        <v>0</v>
      </c>
      <c r="F15" s="43" t="n">
        <v>0</v>
      </c>
      <c r="G15" s="44" t="n">
        <v>10000</v>
      </c>
      <c r="H15" s="45" t="n">
        <f aca="false">'Progress Tracker'!U17</f>
        <v>0</v>
      </c>
      <c r="I15" s="46" t="n">
        <f aca="false">IF(G15=0,0,H15/G15)</f>
        <v>0</v>
      </c>
    </row>
    <row r="16" customFormat="false" ht="15" hidden="false" customHeight="true" outlineLevel="0" collapsed="false">
      <c r="A16" s="47" t="s">
        <v>113</v>
      </c>
      <c r="B16" s="38" t="n">
        <v>0</v>
      </c>
      <c r="C16" s="38" t="n">
        <v>0</v>
      </c>
      <c r="D16" s="38" t="n">
        <v>0</v>
      </c>
      <c r="E16" s="38" t="n">
        <v>0</v>
      </c>
      <c r="F16" s="38" t="n">
        <v>1278</v>
      </c>
      <c r="G16" s="39" t="n">
        <v>0</v>
      </c>
      <c r="H16" s="40" t="n">
        <f aca="false">'Progress Tracker'!U18</f>
        <v>0</v>
      </c>
      <c r="I16" s="48" t="n">
        <f aca="false">IF(G16=0,0,H16/G16)</f>
        <v>0</v>
      </c>
    </row>
    <row r="17" customFormat="false" ht="15" hidden="false" customHeight="true" outlineLevel="0" collapsed="false">
      <c r="G17" s="14"/>
      <c r="I17" s="9"/>
    </row>
    <row r="18" customFormat="false" ht="15" hidden="false" customHeight="true" outlineLevel="0" collapsed="false">
      <c r="A18" s="49" t="s">
        <v>32</v>
      </c>
      <c r="B18" s="50" t="n">
        <f aca="false">B4+B9+B10+B11+B12+B13+B16</f>
        <v>75280</v>
      </c>
      <c r="C18" s="50" t="n">
        <f aca="false">C4+C9+C10+C11+C12+C13+C16</f>
        <v>84413</v>
      </c>
      <c r="D18" s="50" t="n">
        <f aca="false">D4+D9+D10+D11+D12+D13+D16</f>
        <v>120435</v>
      </c>
      <c r="E18" s="50" t="n">
        <f aca="false">E4+E9+E10+E11+E12+E13+E16</f>
        <v>96823</v>
      </c>
      <c r="F18" s="50" t="n">
        <f aca="false">F4+F9+F10+F11+F12+F13+F16</f>
        <v>474334</v>
      </c>
      <c r="G18" s="50" t="n">
        <f aca="false">G4+G9+G10+G11+G12+G13+G16</f>
        <v>507000</v>
      </c>
      <c r="H18" s="50" t="n">
        <f aca="false">'Progress Tracker'!U19</f>
        <v>0</v>
      </c>
      <c r="I18" s="51" t="n">
        <f aca="false">IF(G18=0,0,H18/G18)</f>
        <v>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7" min="2" style="1" width="13"/>
    <col collapsed="false" customWidth="true" hidden="false" outlineLevel="0" max="8" min="8" style="1" width="13.29"/>
    <col collapsed="false" customWidth="true" hidden="false" outlineLevel="0" max="24" min="9" style="1" width="8.71"/>
  </cols>
  <sheetData>
    <row r="1" customFormat="false" ht="17.25" hidden="false" customHeight="true" outlineLevel="0" collapsed="false">
      <c r="A1" s="52" t="s">
        <v>114</v>
      </c>
    </row>
    <row r="2" customFormat="false" ht="15" hidden="false" customHeight="true" outlineLevel="0" collapsed="false"/>
    <row r="3" customFormat="false" ht="15" hidden="false" customHeight="true" outlineLevel="0" collapsed="false">
      <c r="A3" s="36" t="s">
        <v>115</v>
      </c>
      <c r="B3" s="36" t="s">
        <v>104</v>
      </c>
      <c r="C3" s="36" t="s">
        <v>105</v>
      </c>
      <c r="D3" s="36" t="s">
        <v>106</v>
      </c>
      <c r="E3" s="36" t="s">
        <v>107</v>
      </c>
      <c r="F3" s="36" t="s">
        <v>108</v>
      </c>
      <c r="G3" s="36" t="s">
        <v>109</v>
      </c>
      <c r="H3" s="36" t="s">
        <v>110</v>
      </c>
      <c r="I3" s="36" t="s">
        <v>111</v>
      </c>
    </row>
    <row r="4" customFormat="false" ht="15" hidden="false" customHeight="true" outlineLevel="0" collapsed="false">
      <c r="A4" s="53" t="s">
        <v>116</v>
      </c>
      <c r="B4" s="54"/>
      <c r="C4" s="54"/>
      <c r="D4" s="54"/>
      <c r="E4" s="54"/>
      <c r="F4" s="54"/>
      <c r="G4" s="55"/>
      <c r="I4" s="48"/>
    </row>
    <row r="5" customFormat="false" ht="15" hidden="false" customHeight="true" outlineLevel="0" collapsed="false">
      <c r="A5" s="1" t="s">
        <v>117</v>
      </c>
      <c r="B5" s="56" t="n">
        <v>79973</v>
      </c>
      <c r="C5" s="56" t="n">
        <v>55570</v>
      </c>
      <c r="D5" s="56" t="n">
        <v>57000</v>
      </c>
      <c r="E5" s="56" t="n">
        <v>79800</v>
      </c>
      <c r="F5" s="56" t="n">
        <v>31603</v>
      </c>
      <c r="G5" s="57" t="n">
        <v>50000</v>
      </c>
      <c r="H5" s="58" t="n">
        <f aca="false">'Progress Tracker'!U40</f>
        <v>0</v>
      </c>
      <c r="I5" s="48" t="n">
        <f aca="false">IF(G5=0,0,H5/G5)</f>
        <v>0</v>
      </c>
    </row>
    <row r="6" customFormat="false" ht="15" hidden="false" customHeight="true" outlineLevel="0" collapsed="false">
      <c r="B6" s="54"/>
      <c r="C6" s="54"/>
      <c r="D6" s="54"/>
      <c r="E6" s="54"/>
      <c r="F6" s="54"/>
      <c r="G6" s="55"/>
      <c r="I6" s="48"/>
    </row>
    <row r="7" customFormat="false" ht="15" hidden="false" customHeight="true" outlineLevel="0" collapsed="false">
      <c r="A7" s="53" t="s">
        <v>118</v>
      </c>
      <c r="B7" s="54"/>
      <c r="C7" s="54"/>
      <c r="D7" s="54"/>
      <c r="E7" s="54"/>
      <c r="F7" s="54"/>
      <c r="G7" s="55"/>
      <c r="I7" s="48"/>
    </row>
    <row r="8" customFormat="false" ht="15" hidden="false" customHeight="true" outlineLevel="0" collapsed="false">
      <c r="A8" s="1" t="s">
        <v>119</v>
      </c>
      <c r="B8" s="56" t="n">
        <v>0</v>
      </c>
      <c r="C8" s="56" t="n">
        <v>0</v>
      </c>
      <c r="D8" s="56" t="n">
        <v>0</v>
      </c>
      <c r="E8" s="56" t="n">
        <v>0</v>
      </c>
      <c r="F8" s="56" t="n">
        <v>275</v>
      </c>
      <c r="G8" s="57" t="n">
        <v>300</v>
      </c>
      <c r="H8" s="58" t="n">
        <f aca="false">'Progress Tracker'!U22</f>
        <v>0</v>
      </c>
      <c r="I8" s="48" t="n">
        <f aca="false">IF(G8=0,0,H8/G8)</f>
        <v>0</v>
      </c>
    </row>
    <row r="9" customFormat="false" ht="15" hidden="false" customHeight="true" outlineLevel="0" collapsed="false">
      <c r="A9" s="1" t="s">
        <v>120</v>
      </c>
      <c r="B9" s="56" t="n">
        <v>0</v>
      </c>
      <c r="C9" s="56" t="n">
        <v>0</v>
      </c>
      <c r="D9" s="56" t="n">
        <v>0</v>
      </c>
      <c r="E9" s="56" t="n">
        <v>0</v>
      </c>
      <c r="F9" s="56" t="n">
        <v>218</v>
      </c>
      <c r="G9" s="57" t="n">
        <v>300</v>
      </c>
      <c r="H9" s="58" t="n">
        <f aca="false">'Progress Tracker'!U23</f>
        <v>0</v>
      </c>
      <c r="I9" s="48" t="n">
        <f aca="false">IF(G9=0,0,H9/G9)</f>
        <v>0</v>
      </c>
    </row>
    <row r="10" customFormat="false" ht="15" hidden="false" customHeight="true" outlineLevel="0" collapsed="false">
      <c r="A10" s="1" t="s">
        <v>121</v>
      </c>
      <c r="B10" s="56" t="n">
        <v>0</v>
      </c>
      <c r="C10" s="56" t="n">
        <v>0</v>
      </c>
      <c r="D10" s="56" t="n">
        <v>0</v>
      </c>
      <c r="E10" s="56" t="n">
        <v>0</v>
      </c>
      <c r="F10" s="56" t="n">
        <v>3011</v>
      </c>
      <c r="G10" s="57" t="n">
        <v>5000</v>
      </c>
      <c r="H10" s="58" t="n">
        <f aca="false">'Progress Tracker'!U24</f>
        <v>0</v>
      </c>
      <c r="I10" s="48" t="n">
        <f aca="false">IF(G10=0,0,H10/G10)</f>
        <v>0</v>
      </c>
    </row>
    <row r="11" customFormat="false" ht="15" hidden="false" customHeight="true" outlineLevel="0" collapsed="false">
      <c r="A11" s="1" t="s">
        <v>122</v>
      </c>
      <c r="B11" s="56" t="n">
        <v>0</v>
      </c>
      <c r="C11" s="56" t="n">
        <v>0</v>
      </c>
      <c r="D11" s="56" t="n">
        <v>0</v>
      </c>
      <c r="E11" s="56" t="n">
        <v>0</v>
      </c>
      <c r="F11" s="56" t="n">
        <v>27273</v>
      </c>
      <c r="G11" s="57" t="n">
        <v>25000</v>
      </c>
      <c r="H11" s="58" t="n">
        <f aca="false">'Progress Tracker'!U25</f>
        <v>0</v>
      </c>
      <c r="I11" s="48" t="n">
        <f aca="false">IF(G11=0,0,H11/G11)</f>
        <v>0</v>
      </c>
    </row>
    <row r="12" customFormat="false" ht="15" hidden="false" customHeight="true" outlineLevel="0" collapsed="false">
      <c r="A12" s="1" t="s">
        <v>123</v>
      </c>
      <c r="B12" s="56" t="n">
        <v>21341</v>
      </c>
      <c r="C12" s="56" t="n">
        <v>31773</v>
      </c>
      <c r="D12" s="56" t="n">
        <v>19862</v>
      </c>
      <c r="E12" s="56" t="n">
        <v>33964</v>
      </c>
      <c r="F12" s="56" t="n">
        <v>147133</v>
      </c>
      <c r="G12" s="57" t="n">
        <v>154933</v>
      </c>
      <c r="H12" s="58" t="n">
        <f aca="false">'Progress Tracker'!U41+'Progress Tracker'!U44+'Progress Tracker'!U48</f>
        <v>0</v>
      </c>
      <c r="I12" s="48" t="n">
        <f aca="false">IF(G12=0,0,H12/G12)</f>
        <v>0</v>
      </c>
    </row>
    <row r="13" customFormat="false" ht="15" hidden="false" customHeight="true" outlineLevel="0" collapsed="false">
      <c r="A13" s="37" t="s">
        <v>124</v>
      </c>
      <c r="B13" s="59"/>
      <c r="C13" s="59"/>
      <c r="D13" s="59"/>
      <c r="E13" s="59"/>
      <c r="F13" s="59"/>
      <c r="G13" s="60" t="n">
        <v>185533</v>
      </c>
      <c r="H13" s="61" t="n">
        <f aca="false">SUM(H8:H12)</f>
        <v>0</v>
      </c>
      <c r="I13" s="62" t="n">
        <f aca="false">IF(G13=0,0,H13/G13)</f>
        <v>0</v>
      </c>
    </row>
    <row r="14" customFormat="false" ht="15" hidden="false" customHeight="true" outlineLevel="0" collapsed="false">
      <c r="B14" s="54"/>
      <c r="C14" s="54"/>
      <c r="D14" s="54"/>
      <c r="E14" s="54"/>
      <c r="F14" s="54"/>
      <c r="G14" s="55"/>
      <c r="I14" s="48"/>
    </row>
    <row r="15" customFormat="false" ht="15" hidden="false" customHeight="true" outlineLevel="0" collapsed="false">
      <c r="A15" s="53" t="s">
        <v>125</v>
      </c>
      <c r="B15" s="54"/>
      <c r="C15" s="54"/>
      <c r="D15" s="54"/>
      <c r="E15" s="54"/>
      <c r="F15" s="54"/>
      <c r="G15" s="55"/>
      <c r="I15" s="48"/>
    </row>
    <row r="16" customFormat="false" ht="15" hidden="false" customHeight="true" outlineLevel="0" collapsed="false">
      <c r="A16" s="1" t="s">
        <v>126</v>
      </c>
      <c r="B16" s="56" t="n">
        <v>0</v>
      </c>
      <c r="C16" s="56" t="n">
        <v>0</v>
      </c>
      <c r="D16" s="56" t="n">
        <v>0</v>
      </c>
      <c r="E16" s="56" t="n">
        <v>0</v>
      </c>
      <c r="F16" s="56" t="n">
        <v>1309</v>
      </c>
      <c r="G16" s="57" t="n">
        <v>2500</v>
      </c>
      <c r="H16" s="58" t="n">
        <f aca="false">'Progress Tracker'!U29</f>
        <v>0</v>
      </c>
      <c r="I16" s="48" t="n">
        <f aca="false">IF(G16=0,0,H16/G16)</f>
        <v>0</v>
      </c>
    </row>
    <row r="17" customFormat="false" ht="15" hidden="false" customHeight="true" outlineLevel="0" collapsed="false">
      <c r="A17" s="1" t="s">
        <v>127</v>
      </c>
      <c r="B17" s="56" t="n">
        <v>0</v>
      </c>
      <c r="C17" s="56" t="n">
        <v>0</v>
      </c>
      <c r="D17" s="56" t="n">
        <v>0</v>
      </c>
      <c r="E17" s="56" t="n">
        <v>0</v>
      </c>
      <c r="F17" s="56" t="n">
        <v>22672</v>
      </c>
      <c r="G17" s="57" t="n">
        <v>18000</v>
      </c>
      <c r="H17" s="58" t="n">
        <f aca="false">'Progress Tracker'!U33</f>
        <v>0</v>
      </c>
      <c r="I17" s="48" t="n">
        <f aca="false">IF(G17=0,0,H17/G17)</f>
        <v>0</v>
      </c>
    </row>
    <row r="18" customFormat="false" ht="15" hidden="false" customHeight="true" outlineLevel="0" collapsed="false">
      <c r="A18" s="1" t="s">
        <v>128</v>
      </c>
      <c r="B18" s="56" t="n">
        <v>0</v>
      </c>
      <c r="C18" s="56" t="n">
        <v>0</v>
      </c>
      <c r="D18" s="56" t="n">
        <v>0</v>
      </c>
      <c r="E18" s="56" t="n">
        <v>0</v>
      </c>
      <c r="F18" s="56" t="n">
        <v>7830</v>
      </c>
      <c r="G18" s="57" t="n">
        <v>5000</v>
      </c>
      <c r="H18" s="58" t="n">
        <f aca="false">'Progress Tracker'!U36</f>
        <v>0</v>
      </c>
      <c r="I18" s="48" t="n">
        <f aca="false">IF(G18=0,0,H18/G18)</f>
        <v>0</v>
      </c>
    </row>
    <row r="19" customFormat="false" ht="15" hidden="false" customHeight="true" outlineLevel="0" collapsed="false">
      <c r="A19" s="1" t="s">
        <v>129</v>
      </c>
      <c r="B19" s="56" t="n">
        <v>0</v>
      </c>
      <c r="C19" s="56" t="n">
        <v>0</v>
      </c>
      <c r="D19" s="56" t="n">
        <v>0</v>
      </c>
      <c r="E19" s="56" t="n">
        <v>0</v>
      </c>
      <c r="F19" s="56" t="n">
        <v>1950</v>
      </c>
      <c r="G19" s="57" t="n">
        <v>2100</v>
      </c>
      <c r="H19" s="58" t="n">
        <f aca="false">'Progress Tracker'!U34+'Progress Tracker'!U35</f>
        <v>0</v>
      </c>
      <c r="I19" s="48" t="n">
        <f aca="false">IF(G19=0,0,H19/G19)</f>
        <v>0</v>
      </c>
    </row>
    <row r="20" customFormat="false" ht="15" hidden="false" customHeight="true" outlineLevel="0" collapsed="false">
      <c r="A20" s="1" t="s">
        <v>130</v>
      </c>
      <c r="B20" s="56" t="n">
        <v>0</v>
      </c>
      <c r="C20" s="56" t="n">
        <v>0</v>
      </c>
      <c r="D20" s="56" t="n">
        <v>0</v>
      </c>
      <c r="E20" s="56" t="n">
        <v>114416</v>
      </c>
      <c r="F20" s="56" t="n">
        <v>139975</v>
      </c>
      <c r="G20" s="57" t="n">
        <v>145670</v>
      </c>
      <c r="H20" s="58" t="n">
        <f aca="false">'Progress Tracker'!U42+'Progress Tracker'!U45+'Progress Tracker'!U46+'Progress Tracker'!U49</f>
        <v>0</v>
      </c>
      <c r="I20" s="48" t="n">
        <f aca="false">IF(G20=0,0,H20/G20)</f>
        <v>0</v>
      </c>
    </row>
    <row r="21" customFormat="false" ht="15" hidden="false" customHeight="true" outlineLevel="0" collapsed="false">
      <c r="A21" s="37" t="s">
        <v>131</v>
      </c>
      <c r="B21" s="59"/>
      <c r="C21" s="59"/>
      <c r="D21" s="59"/>
      <c r="E21" s="59"/>
      <c r="F21" s="59"/>
      <c r="G21" s="60" t="n">
        <v>173270</v>
      </c>
      <c r="H21" s="61" t="n">
        <f aca="false">SUM(H16:H20)</f>
        <v>0</v>
      </c>
      <c r="I21" s="62" t="n">
        <f aca="false">IF(G21=0,0,H21/G21)</f>
        <v>0</v>
      </c>
    </row>
    <row r="22" customFormat="false" ht="15.75" hidden="false" customHeight="true" outlineLevel="0" collapsed="false">
      <c r="B22" s="54"/>
      <c r="C22" s="54"/>
      <c r="D22" s="54"/>
      <c r="E22" s="54"/>
      <c r="F22" s="54"/>
      <c r="G22" s="55"/>
      <c r="I22" s="48"/>
    </row>
    <row r="23" customFormat="false" ht="15" hidden="false" customHeight="true" outlineLevel="0" collapsed="false">
      <c r="A23" s="53" t="s">
        <v>132</v>
      </c>
      <c r="B23" s="54"/>
      <c r="C23" s="54"/>
      <c r="D23" s="54"/>
      <c r="E23" s="54"/>
      <c r="F23" s="54"/>
      <c r="G23" s="55"/>
      <c r="I23" s="48"/>
    </row>
    <row r="24" customFormat="false" ht="15" hidden="false" customHeight="true" outlineLevel="0" collapsed="false">
      <c r="A24" s="1" t="s">
        <v>133</v>
      </c>
      <c r="B24" s="56" t="n">
        <v>0</v>
      </c>
      <c r="C24" s="56" t="n">
        <v>0</v>
      </c>
      <c r="D24" s="56" t="n">
        <v>0</v>
      </c>
      <c r="E24" s="56" t="n">
        <v>0</v>
      </c>
      <c r="F24" s="56" t="n">
        <v>4345</v>
      </c>
      <c r="G24" s="57" t="n">
        <v>4500</v>
      </c>
      <c r="H24" s="58" t="n">
        <f aca="false">'Progress Tracker'!U26</f>
        <v>0</v>
      </c>
      <c r="I24" s="48" t="n">
        <f aca="false">IF(G24=0,0,H24/G24)</f>
        <v>0</v>
      </c>
    </row>
    <row r="25" customFormat="false" ht="15" hidden="false" customHeight="true" outlineLevel="0" collapsed="false">
      <c r="A25" s="1" t="s">
        <v>134</v>
      </c>
      <c r="B25" s="56" t="n">
        <v>0</v>
      </c>
      <c r="C25" s="56" t="n">
        <v>0</v>
      </c>
      <c r="D25" s="56" t="n">
        <v>0</v>
      </c>
      <c r="E25" s="56" t="n">
        <v>0</v>
      </c>
      <c r="F25" s="56" t="n">
        <v>6808</v>
      </c>
      <c r="G25" s="57" t="n">
        <v>7000</v>
      </c>
      <c r="H25" s="58" t="n">
        <f aca="false">'Progress Tracker'!U27</f>
        <v>0</v>
      </c>
      <c r="I25" s="48" t="n">
        <f aca="false">IF(G25=0,0,H25/G25)</f>
        <v>0</v>
      </c>
    </row>
    <row r="26" customFormat="false" ht="15" hidden="false" customHeight="true" outlineLevel="0" collapsed="false">
      <c r="A26" s="1" t="s">
        <v>135</v>
      </c>
      <c r="B26" s="56" t="n">
        <v>0</v>
      </c>
      <c r="C26" s="56" t="n">
        <v>0</v>
      </c>
      <c r="D26" s="56" t="n">
        <v>0</v>
      </c>
      <c r="E26" s="56" t="n">
        <v>0</v>
      </c>
      <c r="F26" s="56" t="n">
        <v>3220</v>
      </c>
      <c r="G26" s="57" t="n">
        <v>3300</v>
      </c>
      <c r="H26" s="58" t="n">
        <f aca="false">'Progress Tracker'!U31</f>
        <v>0</v>
      </c>
      <c r="I26" s="48" t="n">
        <f aca="false">IF(G26=0,0,H26/G26)</f>
        <v>0</v>
      </c>
    </row>
    <row r="27" customFormat="false" ht="15" hidden="false" customHeight="true" outlineLevel="0" collapsed="false">
      <c r="A27" s="1" t="s">
        <v>136</v>
      </c>
      <c r="B27" s="56" t="n">
        <v>0</v>
      </c>
      <c r="C27" s="56" t="n">
        <v>0</v>
      </c>
      <c r="D27" s="56" t="n">
        <v>0</v>
      </c>
      <c r="E27" s="56" t="n">
        <v>0</v>
      </c>
      <c r="F27" s="56" t="n">
        <v>2181</v>
      </c>
      <c r="G27" s="57" t="n">
        <v>3500</v>
      </c>
      <c r="H27" s="58" t="n">
        <f aca="false">'Progress Tracker'!U28</f>
        <v>0</v>
      </c>
      <c r="I27" s="48" t="n">
        <f aca="false">IF(G27=0,0,H27/G27)</f>
        <v>0</v>
      </c>
    </row>
    <row r="28" customFormat="false" ht="15" hidden="false" customHeight="true" outlineLevel="0" collapsed="false">
      <c r="A28" s="1" t="s">
        <v>137</v>
      </c>
      <c r="B28" s="56" t="n">
        <v>0</v>
      </c>
      <c r="C28" s="56" t="n">
        <v>0</v>
      </c>
      <c r="D28" s="56" t="n">
        <v>0</v>
      </c>
      <c r="E28" s="56" t="n">
        <v>0</v>
      </c>
      <c r="F28" s="56" t="n">
        <v>1225</v>
      </c>
      <c r="G28" s="57" t="n">
        <v>1200</v>
      </c>
      <c r="H28" s="58" t="n">
        <f aca="false">'Progress Tracker'!U30+'Progress Tracker'!U32+'Progress Tracker'!U37+'Progress Tracker'!U38+'Progress Tracker'!U39</f>
        <v>0</v>
      </c>
      <c r="I28" s="48" t="n">
        <f aca="false">IF(G28=0,0,H28/G28)</f>
        <v>0</v>
      </c>
    </row>
    <row r="29" customFormat="false" ht="15" hidden="false" customHeight="true" outlineLevel="0" collapsed="false">
      <c r="A29" s="1" t="s">
        <v>138</v>
      </c>
      <c r="B29" s="56" t="n">
        <v>132345</v>
      </c>
      <c r="C29" s="56" t="n">
        <v>196162</v>
      </c>
      <c r="D29" s="56" t="n">
        <v>262979</v>
      </c>
      <c r="E29" s="56" t="n">
        <v>142126</v>
      </c>
      <c r="F29" s="56" t="n">
        <v>36395</v>
      </c>
      <c r="G29" s="57" t="n">
        <v>50545</v>
      </c>
      <c r="H29" s="58" t="n">
        <f aca="false">'Progress Tracker'!U43+'Progress Tracker'!U47+'Progress Tracker'!U50</f>
        <v>0</v>
      </c>
      <c r="I29" s="48" t="n">
        <f aca="false">IF(G29=0,0,H29/G29)</f>
        <v>0</v>
      </c>
    </row>
    <row r="30" customFormat="false" ht="15" hidden="false" customHeight="true" outlineLevel="0" collapsed="false">
      <c r="A30" s="37" t="s">
        <v>139</v>
      </c>
      <c r="B30" s="59"/>
      <c r="C30" s="59"/>
      <c r="D30" s="59"/>
      <c r="E30" s="59"/>
      <c r="F30" s="59"/>
      <c r="G30" s="60" t="n">
        <v>70045</v>
      </c>
      <c r="H30" s="61" t="n">
        <f aca="false">SUM(H24:H29)</f>
        <v>0</v>
      </c>
      <c r="I30" s="62" t="n">
        <f aca="false">IF(G30=0,0,H30/G30)</f>
        <v>0</v>
      </c>
    </row>
    <row r="31" customFormat="false" ht="15.75" hidden="false" customHeight="true" outlineLevel="0" collapsed="false">
      <c r="B31" s="63"/>
      <c r="C31" s="63"/>
      <c r="D31" s="63"/>
      <c r="E31" s="63"/>
      <c r="F31" s="63"/>
      <c r="G31" s="63"/>
      <c r="I31" s="9"/>
    </row>
    <row r="32" customFormat="false" ht="15" hidden="false" customHeight="true" outlineLevel="0" collapsed="false">
      <c r="A32" s="64" t="s">
        <v>97</v>
      </c>
      <c r="B32" s="64"/>
      <c r="C32" s="64"/>
      <c r="D32" s="64"/>
      <c r="E32" s="64"/>
      <c r="F32" s="64"/>
      <c r="G32" s="65" t="n">
        <v>478848</v>
      </c>
      <c r="H32" s="66" t="n">
        <f aca="false">H5+H13+H21+H30</f>
        <v>0</v>
      </c>
      <c r="I32" s="67" t="n">
        <f aca="false">IF(G32=0,0,H32/G32)</f>
        <v>0</v>
      </c>
    </row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E5" activeCellId="0" sqref="E5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.15"/>
    <col collapsed="false" customWidth="true" hidden="false" outlineLevel="0" max="3" min="3" style="1" width="34.29"/>
    <col collapsed="false" customWidth="true" hidden="false" outlineLevel="0" max="4" min="4" style="1" width="12"/>
    <col collapsed="false" customWidth="true" hidden="false" outlineLevel="0" max="22" min="5" style="1" width="10"/>
    <col collapsed="false" customWidth="true" hidden="false" outlineLevel="0" max="26" min="23" style="1" width="8.71"/>
  </cols>
  <sheetData>
    <row r="1" customFormat="false" ht="17.25" hidden="false" customHeight="true" outlineLevel="0" collapsed="false">
      <c r="A1" s="35" t="s">
        <v>140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customFormat="false" ht="15" hidden="false" customHeight="true" outlineLevel="0" collapsed="false">
      <c r="A2" s="42"/>
    </row>
    <row r="3" customFormat="false" ht="15" hidden="false" customHeight="true" outlineLevel="0" collapsed="false"/>
    <row r="4" customFormat="false" ht="15" hidden="false" customHeight="true" outlineLevel="0" collapsed="false">
      <c r="A4" s="68" t="s">
        <v>141</v>
      </c>
      <c r="B4" s="68" t="s">
        <v>3</v>
      </c>
      <c r="C4" s="68" t="s">
        <v>142</v>
      </c>
      <c r="D4" s="68" t="s">
        <v>143</v>
      </c>
      <c r="E4" s="68" t="s">
        <v>144</v>
      </c>
      <c r="F4" s="68" t="s">
        <v>145</v>
      </c>
      <c r="G4" s="68" t="s">
        <v>146</v>
      </c>
      <c r="H4" s="69" t="s">
        <v>147</v>
      </c>
      <c r="I4" s="68" t="s">
        <v>148</v>
      </c>
      <c r="J4" s="68" t="s">
        <v>149</v>
      </c>
      <c r="K4" s="68" t="s">
        <v>150</v>
      </c>
      <c r="L4" s="69" t="s">
        <v>151</v>
      </c>
      <c r="M4" s="68" t="s">
        <v>152</v>
      </c>
      <c r="N4" s="68" t="s">
        <v>153</v>
      </c>
      <c r="O4" s="68" t="s">
        <v>154</v>
      </c>
      <c r="P4" s="69" t="s">
        <v>155</v>
      </c>
      <c r="Q4" s="68" t="s">
        <v>156</v>
      </c>
      <c r="R4" s="68" t="s">
        <v>157</v>
      </c>
      <c r="S4" s="68" t="s">
        <v>158</v>
      </c>
      <c r="T4" s="69" t="s">
        <v>159</v>
      </c>
      <c r="U4" s="70" t="s">
        <v>160</v>
      </c>
      <c r="V4" s="70" t="s">
        <v>161</v>
      </c>
    </row>
    <row r="5" customFormat="false" ht="15" hidden="false" customHeight="true" outlineLevel="0" collapsed="false">
      <c r="A5" s="6" t="s">
        <v>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customFormat="false" ht="15" hidden="false" customHeight="true" outlineLevel="0" collapsed="false">
      <c r="A6" s="1" t="s">
        <v>10</v>
      </c>
      <c r="B6" s="71" t="s">
        <v>11</v>
      </c>
      <c r="D6" s="72" t="n">
        <f aca="false">SUM(D7:D10)</f>
        <v>375000</v>
      </c>
      <c r="E6" s="72" t="n">
        <f aca="false">SUM(E7:E10)</f>
        <v>0</v>
      </c>
      <c r="F6" s="72" t="n">
        <f aca="false">SUM(F7:F10)</f>
        <v>0</v>
      </c>
      <c r="G6" s="72" t="n">
        <f aca="false">SUM(G7:G10)</f>
        <v>0</v>
      </c>
      <c r="H6" s="73" t="n">
        <f aca="false">SUM(H7:H10)</f>
        <v>0</v>
      </c>
      <c r="I6" s="72" t="n">
        <f aca="false">SUM(I7:I10)</f>
        <v>0</v>
      </c>
      <c r="J6" s="72" t="n">
        <f aca="false">SUM(J7:J10)</f>
        <v>0</v>
      </c>
      <c r="K6" s="72" t="n">
        <f aca="false">SUM(K7:K10)</f>
        <v>0</v>
      </c>
      <c r="L6" s="73" t="n">
        <f aca="false">SUM(L7:L10)</f>
        <v>0</v>
      </c>
      <c r="M6" s="72" t="n">
        <f aca="false">SUM(M7:M10)</f>
        <v>0</v>
      </c>
      <c r="N6" s="72" t="n">
        <f aca="false">SUM(N7:N10)</f>
        <v>0</v>
      </c>
      <c r="O6" s="72" t="n">
        <f aca="false">SUM(O7:O10)</f>
        <v>0</v>
      </c>
      <c r="P6" s="73" t="n">
        <f aca="false">SUM(P7:P10)</f>
        <v>0</v>
      </c>
      <c r="Q6" s="72" t="n">
        <f aca="false">SUM(Q7:Q10)</f>
        <v>0</v>
      </c>
      <c r="R6" s="72" t="n">
        <f aca="false">SUM(R7:R10)</f>
        <v>0</v>
      </c>
      <c r="S6" s="72" t="n">
        <f aca="false">SUM(S7:S10)</f>
        <v>0</v>
      </c>
      <c r="T6" s="73" t="n">
        <f aca="false">SUM(T7:T10)</f>
        <v>0</v>
      </c>
      <c r="U6" s="72" t="n">
        <f aca="false">SUM(U7:U10)</f>
        <v>0</v>
      </c>
      <c r="V6" s="74" t="n">
        <f aca="false">IF(D6=0,0,U6/D6)</f>
        <v>0</v>
      </c>
    </row>
    <row r="7" customFormat="false" ht="15" hidden="false" customHeight="true" outlineLevel="0" collapsed="false">
      <c r="A7" s="75"/>
      <c r="C7" s="76" t="s">
        <v>12</v>
      </c>
      <c r="D7" s="11" t="n">
        <f aca="false">'Current Year'!E7</f>
        <v>0</v>
      </c>
      <c r="E7" s="10"/>
      <c r="F7" s="10"/>
      <c r="G7" s="10"/>
      <c r="H7" s="77" t="n">
        <f aca="false">SUM(E7:G7)</f>
        <v>0</v>
      </c>
      <c r="I7" s="10"/>
      <c r="J7" s="10"/>
      <c r="K7" s="10"/>
      <c r="L7" s="77" t="n">
        <f aca="false">SUM(I7:K7)</f>
        <v>0</v>
      </c>
      <c r="M7" s="10"/>
      <c r="N7" s="10"/>
      <c r="O7" s="10"/>
      <c r="P7" s="77" t="n">
        <f aca="false">SUM(M7:O7)</f>
        <v>0</v>
      </c>
      <c r="Q7" s="10"/>
      <c r="R7" s="10"/>
      <c r="S7" s="10"/>
      <c r="T7" s="77" t="n">
        <f aca="false">SUM(Q7:S7)</f>
        <v>0</v>
      </c>
      <c r="U7" s="11" t="n">
        <f aca="false">H7+L7+P7+T7</f>
        <v>0</v>
      </c>
      <c r="V7" s="12" t="n">
        <f aca="false">IF(D7=0,0,U7/D7)</f>
        <v>0</v>
      </c>
      <c r="W7" s="75"/>
      <c r="X7" s="75"/>
      <c r="Y7" s="75"/>
      <c r="Z7" s="75"/>
    </row>
    <row r="8" customFormat="false" ht="15" hidden="false" customHeight="true" outlineLevel="0" collapsed="false">
      <c r="A8" s="75"/>
      <c r="C8" s="76" t="s">
        <v>13</v>
      </c>
      <c r="D8" s="11" t="n">
        <f aca="false">'Current Year'!E8</f>
        <v>0</v>
      </c>
      <c r="E8" s="10"/>
      <c r="F8" s="10"/>
      <c r="G8" s="10"/>
      <c r="H8" s="77" t="n">
        <f aca="false">SUM(E8:G8)</f>
        <v>0</v>
      </c>
      <c r="I8" s="10"/>
      <c r="J8" s="10"/>
      <c r="K8" s="10"/>
      <c r="L8" s="77" t="n">
        <f aca="false">SUM(I8:K8)</f>
        <v>0</v>
      </c>
      <c r="M8" s="10"/>
      <c r="N8" s="10"/>
      <c r="O8" s="10"/>
      <c r="P8" s="77" t="n">
        <f aca="false">SUM(M8:O8)</f>
        <v>0</v>
      </c>
      <c r="Q8" s="10"/>
      <c r="R8" s="10"/>
      <c r="S8" s="10"/>
      <c r="T8" s="77" t="n">
        <f aca="false">SUM(Q8:S8)</f>
        <v>0</v>
      </c>
      <c r="U8" s="11" t="n">
        <f aca="false">H8+L8+P8+T8</f>
        <v>0</v>
      </c>
      <c r="V8" s="12" t="n">
        <f aca="false">IF(D8=0,0,U8/D8)</f>
        <v>0</v>
      </c>
      <c r="W8" s="75"/>
      <c r="X8" s="75"/>
      <c r="Y8" s="75"/>
      <c r="Z8" s="75"/>
    </row>
    <row r="9" customFormat="false" ht="15" hidden="false" customHeight="true" outlineLevel="0" collapsed="false">
      <c r="A9" s="75"/>
      <c r="C9" s="76" t="s">
        <v>14</v>
      </c>
      <c r="D9" s="11" t="n">
        <f aca="false">'Current Year'!E9</f>
        <v>0</v>
      </c>
      <c r="E9" s="10"/>
      <c r="F9" s="10"/>
      <c r="G9" s="10"/>
      <c r="H9" s="77" t="n">
        <f aca="false">SUM(E9:G9)</f>
        <v>0</v>
      </c>
      <c r="I9" s="10"/>
      <c r="J9" s="10"/>
      <c r="K9" s="10"/>
      <c r="L9" s="77" t="n">
        <f aca="false">SUM(I9:K9)</f>
        <v>0</v>
      </c>
      <c r="M9" s="10"/>
      <c r="N9" s="10"/>
      <c r="O9" s="10"/>
      <c r="P9" s="77" t="n">
        <f aca="false">SUM(M9:O9)</f>
        <v>0</v>
      </c>
      <c r="Q9" s="10"/>
      <c r="R9" s="10"/>
      <c r="S9" s="10"/>
      <c r="T9" s="77" t="n">
        <f aca="false">SUM(Q9:S9)</f>
        <v>0</v>
      </c>
      <c r="U9" s="11" t="n">
        <f aca="false">H9+L9+P9+T9</f>
        <v>0</v>
      </c>
      <c r="V9" s="12" t="n">
        <f aca="false">IF(D9=0,0,U9/D9)</f>
        <v>0</v>
      </c>
      <c r="W9" s="75"/>
      <c r="X9" s="75"/>
      <c r="Y9" s="75"/>
      <c r="Z9" s="75"/>
    </row>
    <row r="10" customFormat="false" ht="15" hidden="false" customHeight="true" outlineLevel="0" collapsed="false">
      <c r="A10" s="75"/>
      <c r="C10" s="76" t="s">
        <v>15</v>
      </c>
      <c r="D10" s="11" t="n">
        <f aca="false">'Current Year'!E10</f>
        <v>375000</v>
      </c>
      <c r="E10" s="10"/>
      <c r="F10" s="10"/>
      <c r="G10" s="10"/>
      <c r="H10" s="77" t="n">
        <f aca="false">SUM(E10:G10)</f>
        <v>0</v>
      </c>
      <c r="I10" s="10"/>
      <c r="J10" s="10"/>
      <c r="K10" s="10"/>
      <c r="L10" s="77" t="n">
        <f aca="false">SUM(I10:K10)</f>
        <v>0</v>
      </c>
      <c r="M10" s="10"/>
      <c r="N10" s="10"/>
      <c r="O10" s="10"/>
      <c r="P10" s="77" t="n">
        <f aca="false">SUM(M10:O10)</f>
        <v>0</v>
      </c>
      <c r="Q10" s="10"/>
      <c r="R10" s="10"/>
      <c r="S10" s="10"/>
      <c r="T10" s="77" t="n">
        <f aca="false">SUM(Q10:S10)</f>
        <v>0</v>
      </c>
      <c r="U10" s="11" t="n">
        <f aca="false">H10+L10+P10+T10</f>
        <v>0</v>
      </c>
      <c r="V10" s="12" t="n">
        <f aca="false">IF(D10=0,0,U10/D10)</f>
        <v>0</v>
      </c>
      <c r="W10" s="75"/>
      <c r="X10" s="75"/>
      <c r="Y10" s="75"/>
      <c r="Z10" s="75"/>
    </row>
    <row r="11" customFormat="false" ht="15" hidden="false" customHeight="true" outlineLevel="0" collapsed="false">
      <c r="A11" s="47" t="s">
        <v>16</v>
      </c>
      <c r="B11" s="47" t="s">
        <v>17</v>
      </c>
      <c r="C11" s="78"/>
      <c r="D11" s="79" t="n">
        <f aca="false">'Current Year'!D11</f>
        <v>2000</v>
      </c>
      <c r="E11" s="80"/>
      <c r="F11" s="80"/>
      <c r="G11" s="80"/>
      <c r="H11" s="81" t="n">
        <f aca="false">SUM(E11:G11)</f>
        <v>0</v>
      </c>
      <c r="I11" s="80"/>
      <c r="J11" s="80"/>
      <c r="K11" s="80"/>
      <c r="L11" s="81" t="n">
        <f aca="false">SUM(I11:K11)</f>
        <v>0</v>
      </c>
      <c r="M11" s="80"/>
      <c r="N11" s="80"/>
      <c r="O11" s="80"/>
      <c r="P11" s="81" t="n">
        <f aca="false">SUM(M11:O11)</f>
        <v>0</v>
      </c>
      <c r="Q11" s="80"/>
      <c r="R11" s="80"/>
      <c r="S11" s="80"/>
      <c r="T11" s="81" t="n">
        <f aca="false">SUM(Q11:S11)</f>
        <v>0</v>
      </c>
      <c r="U11" s="79" t="n">
        <f aca="false">H11+L11+P11+T11</f>
        <v>0</v>
      </c>
      <c r="V11" s="82" t="n">
        <f aca="false">IF(D11=0,0,U11/D11)</f>
        <v>0</v>
      </c>
      <c r="W11" s="47"/>
      <c r="X11" s="47"/>
      <c r="Y11" s="47"/>
      <c r="Z11" s="47"/>
    </row>
    <row r="12" customFormat="false" ht="15" hidden="false" customHeight="true" outlineLevel="0" collapsed="false">
      <c r="A12" s="47" t="s">
        <v>18</v>
      </c>
      <c r="B12" s="47" t="s">
        <v>19</v>
      </c>
      <c r="C12" s="78"/>
      <c r="D12" s="79" t="n">
        <f aca="false">'Current Year'!D12</f>
        <v>20000</v>
      </c>
      <c r="E12" s="80"/>
      <c r="F12" s="80"/>
      <c r="G12" s="80"/>
      <c r="H12" s="81" t="n">
        <f aca="false">SUM(E12:G12)</f>
        <v>0</v>
      </c>
      <c r="I12" s="80"/>
      <c r="J12" s="80"/>
      <c r="K12" s="80"/>
      <c r="L12" s="81" t="n">
        <f aca="false">SUM(I12:K12)</f>
        <v>0</v>
      </c>
      <c r="M12" s="80"/>
      <c r="N12" s="80"/>
      <c r="O12" s="80"/>
      <c r="P12" s="81" t="n">
        <f aca="false">SUM(M12:O12)</f>
        <v>0</v>
      </c>
      <c r="Q12" s="80"/>
      <c r="R12" s="80"/>
      <c r="S12" s="80"/>
      <c r="T12" s="81" t="n">
        <f aca="false">SUM(Q12:S12)</f>
        <v>0</v>
      </c>
      <c r="U12" s="79" t="n">
        <f aca="false">H12+L12+P12+T12</f>
        <v>0</v>
      </c>
      <c r="V12" s="82" t="n">
        <f aca="false">IF(D12=0,0,U12/D12)</f>
        <v>0</v>
      </c>
      <c r="W12" s="47"/>
      <c r="X12" s="47"/>
      <c r="Y12" s="47"/>
      <c r="Z12" s="47"/>
    </row>
    <row r="13" customFormat="false" ht="15" hidden="false" customHeight="true" outlineLevel="0" collapsed="false">
      <c r="A13" s="47" t="s">
        <v>20</v>
      </c>
      <c r="B13" s="47" t="s">
        <v>21</v>
      </c>
      <c r="C13" s="78"/>
      <c r="D13" s="79" t="n">
        <f aca="false">'Current Year'!D13</f>
        <v>0</v>
      </c>
      <c r="E13" s="80"/>
      <c r="F13" s="80"/>
      <c r="G13" s="80"/>
      <c r="H13" s="81" t="n">
        <f aca="false">SUM(E13:G13)</f>
        <v>0</v>
      </c>
      <c r="I13" s="80"/>
      <c r="J13" s="80"/>
      <c r="K13" s="80"/>
      <c r="L13" s="81" t="n">
        <f aca="false">SUM(I13:K13)</f>
        <v>0</v>
      </c>
      <c r="M13" s="80"/>
      <c r="N13" s="80"/>
      <c r="O13" s="80"/>
      <c r="P13" s="81" t="n">
        <f aca="false">SUM(M13:O13)</f>
        <v>0</v>
      </c>
      <c r="Q13" s="80"/>
      <c r="R13" s="80"/>
      <c r="S13" s="80"/>
      <c r="T13" s="81" t="n">
        <f aca="false">SUM(Q13:S13)</f>
        <v>0</v>
      </c>
      <c r="U13" s="79" t="n">
        <f aca="false">H13+L13+P13+T13</f>
        <v>0</v>
      </c>
      <c r="V13" s="82" t="n">
        <f aca="false">IF(D13=0,0,U13/D13)</f>
        <v>0</v>
      </c>
      <c r="W13" s="47"/>
      <c r="X13" s="47"/>
      <c r="Y13" s="47"/>
      <c r="Z13" s="47"/>
    </row>
    <row r="14" customFormat="false" ht="15" hidden="false" customHeight="true" outlineLevel="0" collapsed="false">
      <c r="A14" s="47" t="s">
        <v>22</v>
      </c>
      <c r="B14" s="47" t="s">
        <v>23</v>
      </c>
      <c r="C14" s="78"/>
      <c r="D14" s="79" t="n">
        <f aca="false">'Current Year'!D14</f>
        <v>100000</v>
      </c>
      <c r="E14" s="80"/>
      <c r="F14" s="80"/>
      <c r="G14" s="80"/>
      <c r="H14" s="81" t="n">
        <f aca="false">SUM(E14:G14)</f>
        <v>0</v>
      </c>
      <c r="I14" s="80"/>
      <c r="J14" s="80"/>
      <c r="K14" s="80"/>
      <c r="L14" s="81" t="n">
        <f aca="false">SUM(I14:K14)</f>
        <v>0</v>
      </c>
      <c r="M14" s="80"/>
      <c r="N14" s="80"/>
      <c r="O14" s="80"/>
      <c r="P14" s="81" t="n">
        <f aca="false">SUM(M14:O14)</f>
        <v>0</v>
      </c>
      <c r="Q14" s="80"/>
      <c r="R14" s="80"/>
      <c r="S14" s="80"/>
      <c r="T14" s="81" t="n">
        <f aca="false">SUM(Q14:S14)</f>
        <v>0</v>
      </c>
      <c r="U14" s="79" t="n">
        <f aca="false">H14+L14+P14+T14</f>
        <v>0</v>
      </c>
      <c r="V14" s="82" t="n">
        <f aca="false">IF(D14=0,0,U14/D14)</f>
        <v>0</v>
      </c>
      <c r="W14" s="47"/>
      <c r="X14" s="47"/>
      <c r="Y14" s="47"/>
      <c r="Z14" s="47"/>
    </row>
    <row r="15" customFormat="false" ht="15" hidden="false" customHeight="true" outlineLevel="0" collapsed="false">
      <c r="A15" s="47" t="s">
        <v>24</v>
      </c>
      <c r="B15" s="71" t="s">
        <v>25</v>
      </c>
      <c r="C15" s="78"/>
      <c r="D15" s="72" t="n">
        <f aca="false">SUM(D16:D17)</f>
        <v>10000</v>
      </c>
      <c r="E15" s="72" t="n">
        <f aca="false">SUM(E16:E17)</f>
        <v>0</v>
      </c>
      <c r="F15" s="72" t="n">
        <f aca="false">SUM(F16:F17)</f>
        <v>0</v>
      </c>
      <c r="G15" s="72" t="n">
        <f aca="false">SUM(G16:G17)</f>
        <v>0</v>
      </c>
      <c r="H15" s="73" t="n">
        <f aca="false">SUM(H16:H17)</f>
        <v>0</v>
      </c>
      <c r="I15" s="72" t="n">
        <f aca="false">SUM(I16:I17)</f>
        <v>0</v>
      </c>
      <c r="J15" s="72" t="n">
        <f aca="false">SUM(J16:J17)</f>
        <v>0</v>
      </c>
      <c r="K15" s="72" t="n">
        <f aca="false">SUM(K16:K17)</f>
        <v>0</v>
      </c>
      <c r="L15" s="73" t="n">
        <f aca="false">SUM(L16:L17)</f>
        <v>0</v>
      </c>
      <c r="M15" s="72" t="n">
        <f aca="false">SUM(M16:M17)</f>
        <v>0</v>
      </c>
      <c r="N15" s="72" t="n">
        <f aca="false">SUM(N16:N17)</f>
        <v>0</v>
      </c>
      <c r="O15" s="72" t="n">
        <f aca="false">SUM(O16:O17)</f>
        <v>0</v>
      </c>
      <c r="P15" s="73" t="n">
        <f aca="false">SUM(P16:P17)</f>
        <v>0</v>
      </c>
      <c r="Q15" s="72" t="n">
        <f aca="false">SUM(Q16:Q17)</f>
        <v>0</v>
      </c>
      <c r="R15" s="72" t="n">
        <f aca="false">SUM(R16:R17)</f>
        <v>0</v>
      </c>
      <c r="S15" s="72" t="n">
        <f aca="false">SUM(S16:S17)</f>
        <v>0</v>
      </c>
      <c r="T15" s="73" t="n">
        <f aca="false">SUM(T16:T17)</f>
        <v>0</v>
      </c>
      <c r="U15" s="72" t="n">
        <f aca="false">SUM(U16:U17)</f>
        <v>0</v>
      </c>
      <c r="V15" s="74" t="n">
        <f aca="false">IF(D15=0,0,U15/D15)</f>
        <v>0</v>
      </c>
      <c r="W15" s="47"/>
      <c r="X15" s="47"/>
      <c r="Y15" s="47"/>
      <c r="Z15" s="47"/>
    </row>
    <row r="16" customFormat="false" ht="15" hidden="false" customHeight="true" outlineLevel="0" collapsed="false">
      <c r="A16" s="75" t="s">
        <v>26</v>
      </c>
      <c r="C16" s="76" t="s">
        <v>27</v>
      </c>
      <c r="D16" s="11" t="n">
        <f aca="false">'Current Year'!E16</f>
        <v>0</v>
      </c>
      <c r="E16" s="10"/>
      <c r="F16" s="10"/>
      <c r="G16" s="10"/>
      <c r="H16" s="77" t="n">
        <f aca="false">SUM(E16:G16)</f>
        <v>0</v>
      </c>
      <c r="I16" s="10"/>
      <c r="J16" s="10"/>
      <c r="K16" s="10"/>
      <c r="L16" s="77" t="n">
        <f aca="false">SUM(I16:K16)</f>
        <v>0</v>
      </c>
      <c r="M16" s="10"/>
      <c r="N16" s="10"/>
      <c r="O16" s="10"/>
      <c r="P16" s="77" t="n">
        <f aca="false">SUM(M16:O16)</f>
        <v>0</v>
      </c>
      <c r="Q16" s="10"/>
      <c r="R16" s="10"/>
      <c r="S16" s="10"/>
      <c r="T16" s="77" t="n">
        <f aca="false">SUM(Q16:S16)</f>
        <v>0</v>
      </c>
      <c r="U16" s="11" t="n">
        <f aca="false">H16+L16+P16+T16</f>
        <v>0</v>
      </c>
      <c r="V16" s="12" t="n">
        <f aca="false">IF(D16=0,0,U16/D16)</f>
        <v>0</v>
      </c>
      <c r="W16" s="75"/>
      <c r="X16" s="75"/>
      <c r="Y16" s="75"/>
      <c r="Z16" s="75"/>
    </row>
    <row r="17" customFormat="false" ht="15" hidden="false" customHeight="true" outlineLevel="0" collapsed="false">
      <c r="A17" s="75" t="s">
        <v>28</v>
      </c>
      <c r="C17" s="76" t="s">
        <v>29</v>
      </c>
      <c r="D17" s="11" t="n">
        <f aca="false">'Current Year'!E17</f>
        <v>10000</v>
      </c>
      <c r="E17" s="10"/>
      <c r="F17" s="10"/>
      <c r="G17" s="10"/>
      <c r="H17" s="77" t="n">
        <f aca="false">SUM(E17:G17)</f>
        <v>0</v>
      </c>
      <c r="I17" s="10"/>
      <c r="J17" s="10"/>
      <c r="K17" s="10"/>
      <c r="L17" s="77" t="n">
        <f aca="false">SUM(I17:K17)</f>
        <v>0</v>
      </c>
      <c r="M17" s="10"/>
      <c r="N17" s="10"/>
      <c r="O17" s="10"/>
      <c r="P17" s="77" t="n">
        <f aca="false">SUM(M17:O17)</f>
        <v>0</v>
      </c>
      <c r="Q17" s="10"/>
      <c r="R17" s="10"/>
      <c r="S17" s="10"/>
      <c r="T17" s="77" t="n">
        <f aca="false">SUM(Q17:S17)</f>
        <v>0</v>
      </c>
      <c r="U17" s="11" t="n">
        <f aca="false">H17+L17+P17+T17</f>
        <v>0</v>
      </c>
      <c r="V17" s="12" t="n">
        <f aca="false">IF(D17=0,0,U17/D17)</f>
        <v>0</v>
      </c>
      <c r="W17" s="75"/>
      <c r="X17" s="75"/>
      <c r="Y17" s="75"/>
      <c r="Z17" s="75"/>
    </row>
    <row r="18" customFormat="false" ht="15" hidden="false" customHeight="true" outlineLevel="0" collapsed="false">
      <c r="A18" s="1" t="s">
        <v>30</v>
      </c>
      <c r="B18" s="47" t="s">
        <v>31</v>
      </c>
      <c r="D18" s="14" t="n">
        <f aca="false">'Current Year'!D18</f>
        <v>0</v>
      </c>
      <c r="E18" s="83"/>
      <c r="F18" s="83"/>
      <c r="G18" s="83"/>
      <c r="H18" s="84" t="n">
        <f aca="false">SUM(E18:G18)</f>
        <v>0</v>
      </c>
      <c r="I18" s="83"/>
      <c r="J18" s="83"/>
      <c r="K18" s="83"/>
      <c r="L18" s="84" t="n">
        <f aca="false">SUM(I18:K18)</f>
        <v>0</v>
      </c>
      <c r="M18" s="83"/>
      <c r="N18" s="83"/>
      <c r="O18" s="83"/>
      <c r="P18" s="84" t="n">
        <f aca="false">SUM(M18:O18)</f>
        <v>0</v>
      </c>
      <c r="Q18" s="83"/>
      <c r="R18" s="83"/>
      <c r="S18" s="83"/>
      <c r="T18" s="84" t="n">
        <f aca="false">SUM(Q18:S18)</f>
        <v>0</v>
      </c>
      <c r="U18" s="14" t="n">
        <f aca="false">H18+L18+P18+T18</f>
        <v>0</v>
      </c>
      <c r="V18" s="9" t="n">
        <f aca="false">IF(D18=0,0,U18/D18)</f>
        <v>0</v>
      </c>
    </row>
    <row r="19" customFormat="false" ht="15" hidden="false" customHeight="true" outlineLevel="0" collapsed="false">
      <c r="A19" s="85" t="s">
        <v>32</v>
      </c>
      <c r="B19" s="85"/>
      <c r="C19" s="86"/>
      <c r="D19" s="40" t="n">
        <f aca="false">D6+D11+D12+D13+D14+D15+D18</f>
        <v>507000</v>
      </c>
      <c r="E19" s="40" t="n">
        <f aca="false">E6+E11+E12+E13+E14+E15+E18</f>
        <v>0</v>
      </c>
      <c r="F19" s="40" t="n">
        <f aca="false">F6+F11+F12+F13+F14+F15+F18</f>
        <v>0</v>
      </c>
      <c r="G19" s="40" t="n">
        <f aca="false">G6+G11+G12+G13+G14+G15+G18</f>
        <v>0</v>
      </c>
      <c r="H19" s="40" t="n">
        <f aca="false">H6+H11+H12+H13+H14+H15+H18</f>
        <v>0</v>
      </c>
      <c r="I19" s="40" t="n">
        <f aca="false">I6+I11+I12+I13+I14+I15+I18</f>
        <v>0</v>
      </c>
      <c r="J19" s="40" t="n">
        <f aca="false">J6+J11+J12+J13+J14+J15+J18</f>
        <v>0</v>
      </c>
      <c r="K19" s="40" t="n">
        <f aca="false">K6+K11+K12+K13+K14+K15+K18</f>
        <v>0</v>
      </c>
      <c r="L19" s="40" t="n">
        <f aca="false">L6+L11+L12+L13+L14+L15+L18</f>
        <v>0</v>
      </c>
      <c r="M19" s="40" t="n">
        <f aca="false">M6+M11+M12+M13+M14+M15+M18</f>
        <v>0</v>
      </c>
      <c r="N19" s="40" t="n">
        <f aca="false">N6+N11+N12+N13+N14+N15+N18</f>
        <v>0</v>
      </c>
      <c r="O19" s="40" t="n">
        <f aca="false">O6+O11+O12+O13+O14+O15+O18</f>
        <v>0</v>
      </c>
      <c r="P19" s="40" t="n">
        <f aca="false">P6+P11+P12+P13+P14+P15+P18</f>
        <v>0</v>
      </c>
      <c r="Q19" s="40" t="n">
        <f aca="false">Q6+Q11+Q12+Q13+Q14+Q15+Q18</f>
        <v>0</v>
      </c>
      <c r="R19" s="40" t="n">
        <f aca="false">R6+R11+R12+R13+R14+R15+R18</f>
        <v>0</v>
      </c>
      <c r="S19" s="40" t="n">
        <f aca="false">S6+S11+S12+S13+S14+S15+S18</f>
        <v>0</v>
      </c>
      <c r="T19" s="40" t="n">
        <f aca="false">T6+T11+T12+T13+T14+T15+T18</f>
        <v>0</v>
      </c>
      <c r="U19" s="40" t="n">
        <f aca="false">U6+U11+U12+U13+U14+U15+U18</f>
        <v>0</v>
      </c>
      <c r="V19" s="87" t="n">
        <f aca="false">IF(D19=0,0,U19/D19)</f>
        <v>0</v>
      </c>
    </row>
    <row r="20" customFormat="false" ht="15" hidden="false" customHeight="true" outlineLevel="0" collapsed="false"/>
    <row r="21" customFormat="false" ht="15" hidden="false" customHeight="true" outlineLevel="0" collapsed="false">
      <c r="A21" s="53" t="s">
        <v>34</v>
      </c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</row>
    <row r="22" customFormat="false" ht="15" hidden="false" customHeight="true" outlineLevel="0" collapsed="false">
      <c r="A22" s="1" t="s">
        <v>35</v>
      </c>
      <c r="B22" s="1" t="s">
        <v>36</v>
      </c>
      <c r="C22" s="88" t="s">
        <v>37</v>
      </c>
      <c r="D22" s="14" t="n">
        <f aca="false">'Current Year'!D22</f>
        <v>300</v>
      </c>
      <c r="E22" s="83"/>
      <c r="F22" s="83"/>
      <c r="G22" s="83"/>
      <c r="H22" s="84" t="n">
        <f aca="false">SUM(E22:G22)</f>
        <v>0</v>
      </c>
      <c r="I22" s="83"/>
      <c r="J22" s="83"/>
      <c r="K22" s="83"/>
      <c r="L22" s="84" t="n">
        <f aca="false">SUM(I22:K22)</f>
        <v>0</v>
      </c>
      <c r="M22" s="83"/>
      <c r="N22" s="83"/>
      <c r="O22" s="83"/>
      <c r="P22" s="84" t="n">
        <f aca="false">SUM(M22:O22)</f>
        <v>0</v>
      </c>
      <c r="Q22" s="83"/>
      <c r="R22" s="83"/>
      <c r="S22" s="83"/>
      <c r="T22" s="84" t="n">
        <f aca="false">SUM(Q22:S22)</f>
        <v>0</v>
      </c>
      <c r="U22" s="14" t="n">
        <f aca="false">H22+L22+P22+T22</f>
        <v>0</v>
      </c>
      <c r="V22" s="9" t="n">
        <f aca="false">IF(D22=0,0,U22/D22)</f>
        <v>0</v>
      </c>
    </row>
    <row r="23" customFormat="false" ht="15" hidden="false" customHeight="true" outlineLevel="0" collapsed="false">
      <c r="A23" s="1" t="s">
        <v>38</v>
      </c>
      <c r="B23" s="1" t="s">
        <v>39</v>
      </c>
      <c r="C23" s="88" t="s">
        <v>37</v>
      </c>
      <c r="D23" s="14" t="n">
        <f aca="false">'Current Year'!D23</f>
        <v>300</v>
      </c>
      <c r="E23" s="83"/>
      <c r="F23" s="83"/>
      <c r="G23" s="83"/>
      <c r="H23" s="84" t="n">
        <f aca="false">SUM(E23:G23)</f>
        <v>0</v>
      </c>
      <c r="I23" s="83"/>
      <c r="J23" s="83"/>
      <c r="K23" s="83"/>
      <c r="L23" s="84" t="n">
        <f aca="false">SUM(I23:K23)</f>
        <v>0</v>
      </c>
      <c r="M23" s="83"/>
      <c r="N23" s="83"/>
      <c r="O23" s="83"/>
      <c r="P23" s="84" t="n">
        <f aca="false">SUM(M23:O23)</f>
        <v>0</v>
      </c>
      <c r="Q23" s="83"/>
      <c r="R23" s="83"/>
      <c r="S23" s="83"/>
      <c r="T23" s="84" t="n">
        <f aca="false">SUM(Q23:S23)</f>
        <v>0</v>
      </c>
      <c r="U23" s="14" t="n">
        <f aca="false">H23+L23+P23+T23</f>
        <v>0</v>
      </c>
      <c r="V23" s="9" t="n">
        <f aca="false">IF(D23=0,0,U23/D23)</f>
        <v>0</v>
      </c>
    </row>
    <row r="24" customFormat="false" ht="15" hidden="false" customHeight="true" outlineLevel="0" collapsed="false">
      <c r="A24" s="1" t="s">
        <v>40</v>
      </c>
      <c r="B24" s="1" t="s">
        <v>41</v>
      </c>
      <c r="C24" s="88" t="s">
        <v>37</v>
      </c>
      <c r="D24" s="14" t="n">
        <f aca="false">'Current Year'!D24</f>
        <v>5000</v>
      </c>
      <c r="E24" s="83"/>
      <c r="F24" s="83"/>
      <c r="G24" s="83"/>
      <c r="H24" s="84" t="n">
        <f aca="false">SUM(E24:G24)</f>
        <v>0</v>
      </c>
      <c r="I24" s="83"/>
      <c r="J24" s="83"/>
      <c r="K24" s="83"/>
      <c r="L24" s="84" t="n">
        <f aca="false">SUM(I24:K24)</f>
        <v>0</v>
      </c>
      <c r="M24" s="83"/>
      <c r="N24" s="83"/>
      <c r="O24" s="83"/>
      <c r="P24" s="84" t="n">
        <f aca="false">SUM(M24:O24)</f>
        <v>0</v>
      </c>
      <c r="Q24" s="83"/>
      <c r="R24" s="83"/>
      <c r="S24" s="83"/>
      <c r="T24" s="84" t="n">
        <f aca="false">SUM(Q24:S24)</f>
        <v>0</v>
      </c>
      <c r="U24" s="14" t="n">
        <f aca="false">H24+L24+P24+T24</f>
        <v>0</v>
      </c>
      <c r="V24" s="9" t="n">
        <f aca="false">IF(D24=0,0,U24/D24)</f>
        <v>0</v>
      </c>
    </row>
    <row r="25" customFormat="false" ht="15" hidden="false" customHeight="true" outlineLevel="0" collapsed="false">
      <c r="A25" s="1" t="s">
        <v>42</v>
      </c>
      <c r="B25" s="1" t="s">
        <v>43</v>
      </c>
      <c r="C25" s="88" t="s">
        <v>37</v>
      </c>
      <c r="D25" s="14" t="n">
        <f aca="false">'Current Year'!D25</f>
        <v>25000</v>
      </c>
      <c r="E25" s="83"/>
      <c r="F25" s="83"/>
      <c r="G25" s="83"/>
      <c r="H25" s="84" t="n">
        <f aca="false">SUM(E25:G25)</f>
        <v>0</v>
      </c>
      <c r="I25" s="83"/>
      <c r="J25" s="83"/>
      <c r="K25" s="83"/>
      <c r="L25" s="84" t="n">
        <f aca="false">SUM(I25:K25)</f>
        <v>0</v>
      </c>
      <c r="M25" s="83"/>
      <c r="N25" s="83"/>
      <c r="O25" s="83"/>
      <c r="P25" s="84" t="n">
        <f aca="false">SUM(M25:O25)</f>
        <v>0</v>
      </c>
      <c r="Q25" s="83"/>
      <c r="R25" s="83"/>
      <c r="S25" s="83"/>
      <c r="T25" s="84" t="n">
        <f aca="false">SUM(Q25:S25)</f>
        <v>0</v>
      </c>
      <c r="U25" s="14" t="n">
        <f aca="false">H25+L25+P25+T25</f>
        <v>0</v>
      </c>
      <c r="V25" s="9" t="n">
        <f aca="false">IF(D25=0,0,U25/D25)</f>
        <v>0</v>
      </c>
    </row>
    <row r="26" customFormat="false" ht="15" hidden="false" customHeight="true" outlineLevel="0" collapsed="false">
      <c r="A26" s="1" t="s">
        <v>44</v>
      </c>
      <c r="B26" s="1" t="s">
        <v>45</v>
      </c>
      <c r="C26" s="88" t="s">
        <v>46</v>
      </c>
      <c r="D26" s="14" t="n">
        <f aca="false">'Current Year'!D26</f>
        <v>4500</v>
      </c>
      <c r="E26" s="83"/>
      <c r="F26" s="83"/>
      <c r="G26" s="83"/>
      <c r="H26" s="84" t="n">
        <f aca="false">SUM(E26:G26)</f>
        <v>0</v>
      </c>
      <c r="I26" s="83"/>
      <c r="J26" s="83"/>
      <c r="K26" s="83"/>
      <c r="L26" s="84" t="n">
        <f aca="false">SUM(I26:K26)</f>
        <v>0</v>
      </c>
      <c r="M26" s="83"/>
      <c r="N26" s="83"/>
      <c r="O26" s="83"/>
      <c r="P26" s="84" t="n">
        <f aca="false">SUM(M26:O26)</f>
        <v>0</v>
      </c>
      <c r="Q26" s="83"/>
      <c r="R26" s="83"/>
      <c r="S26" s="83"/>
      <c r="T26" s="84" t="n">
        <f aca="false">SUM(Q26:S26)</f>
        <v>0</v>
      </c>
      <c r="U26" s="14" t="n">
        <f aca="false">H26+L26+P26+T26</f>
        <v>0</v>
      </c>
      <c r="V26" s="9" t="n">
        <f aca="false">IF(D26=0,0,U26/D26)</f>
        <v>0</v>
      </c>
    </row>
    <row r="27" customFormat="false" ht="15" hidden="false" customHeight="true" outlineLevel="0" collapsed="false">
      <c r="A27" s="1" t="s">
        <v>47</v>
      </c>
      <c r="B27" s="1" t="s">
        <v>48</v>
      </c>
      <c r="C27" s="88" t="s">
        <v>46</v>
      </c>
      <c r="D27" s="14" t="n">
        <f aca="false">'Current Year'!D27</f>
        <v>7000</v>
      </c>
      <c r="E27" s="83"/>
      <c r="F27" s="83"/>
      <c r="G27" s="83"/>
      <c r="H27" s="84" t="n">
        <f aca="false">SUM(E27:G27)</f>
        <v>0</v>
      </c>
      <c r="I27" s="83"/>
      <c r="J27" s="83"/>
      <c r="K27" s="83"/>
      <c r="L27" s="84" t="n">
        <f aca="false">SUM(I27:K27)</f>
        <v>0</v>
      </c>
      <c r="M27" s="83"/>
      <c r="N27" s="83"/>
      <c r="O27" s="83"/>
      <c r="P27" s="84" t="n">
        <f aca="false">SUM(M27:O27)</f>
        <v>0</v>
      </c>
      <c r="Q27" s="83"/>
      <c r="R27" s="83"/>
      <c r="S27" s="83"/>
      <c r="T27" s="84" t="n">
        <f aca="false">SUM(Q27:S27)</f>
        <v>0</v>
      </c>
      <c r="U27" s="14" t="n">
        <f aca="false">H27+L27+P27+T27</f>
        <v>0</v>
      </c>
      <c r="V27" s="9" t="n">
        <f aca="false">IF(D27=0,0,U27/D27)</f>
        <v>0</v>
      </c>
    </row>
    <row r="28" customFormat="false" ht="15" hidden="false" customHeight="true" outlineLevel="0" collapsed="false">
      <c r="A28" s="1" t="s">
        <v>49</v>
      </c>
      <c r="B28" s="1" t="s">
        <v>50</v>
      </c>
      <c r="C28" s="88" t="s">
        <v>46</v>
      </c>
      <c r="D28" s="14" t="n">
        <f aca="false">'Current Year'!D28</f>
        <v>3500</v>
      </c>
      <c r="E28" s="83"/>
      <c r="F28" s="83"/>
      <c r="G28" s="83"/>
      <c r="H28" s="84" t="n">
        <f aca="false">SUM(E28:G28)</f>
        <v>0</v>
      </c>
      <c r="I28" s="83"/>
      <c r="J28" s="83"/>
      <c r="K28" s="83"/>
      <c r="L28" s="84" t="n">
        <f aca="false">SUM(I28:K28)</f>
        <v>0</v>
      </c>
      <c r="M28" s="83"/>
      <c r="N28" s="83"/>
      <c r="O28" s="83"/>
      <c r="P28" s="84" t="n">
        <f aca="false">SUM(M28:O28)</f>
        <v>0</v>
      </c>
      <c r="Q28" s="83"/>
      <c r="R28" s="83"/>
      <c r="S28" s="83"/>
      <c r="T28" s="84" t="n">
        <f aca="false">SUM(Q28:S28)</f>
        <v>0</v>
      </c>
      <c r="U28" s="14" t="n">
        <f aca="false">H28+L28+P28+T28</f>
        <v>0</v>
      </c>
      <c r="V28" s="9" t="n">
        <f aca="false">IF(D28=0,0,U28/D28)</f>
        <v>0</v>
      </c>
    </row>
    <row r="29" customFormat="false" ht="15" hidden="false" customHeight="true" outlineLevel="0" collapsed="false">
      <c r="A29" s="1" t="s">
        <v>51</v>
      </c>
      <c r="B29" s="1" t="s">
        <v>52</v>
      </c>
      <c r="C29" s="88" t="s">
        <v>53</v>
      </c>
      <c r="D29" s="14" t="n">
        <f aca="false">'Current Year'!D29</f>
        <v>2500</v>
      </c>
      <c r="E29" s="83"/>
      <c r="F29" s="83"/>
      <c r="G29" s="83"/>
      <c r="H29" s="84" t="n">
        <f aca="false">SUM(E29:G29)</f>
        <v>0</v>
      </c>
      <c r="I29" s="83"/>
      <c r="J29" s="83"/>
      <c r="K29" s="83"/>
      <c r="L29" s="84" t="n">
        <f aca="false">SUM(I29:K29)</f>
        <v>0</v>
      </c>
      <c r="M29" s="83"/>
      <c r="N29" s="83"/>
      <c r="O29" s="83"/>
      <c r="P29" s="84" t="n">
        <f aca="false">SUM(M29:O29)</f>
        <v>0</v>
      </c>
      <c r="Q29" s="83"/>
      <c r="R29" s="83"/>
      <c r="S29" s="83"/>
      <c r="T29" s="84" t="n">
        <f aca="false">SUM(Q29:S29)</f>
        <v>0</v>
      </c>
      <c r="U29" s="14" t="n">
        <f aca="false">H29+L29+P29+T29</f>
        <v>0</v>
      </c>
      <c r="V29" s="9" t="n">
        <f aca="false">IF(D29=0,0,U29/D29)</f>
        <v>0</v>
      </c>
    </row>
    <row r="30" customFormat="false" ht="15" hidden="false" customHeight="true" outlineLevel="0" collapsed="false">
      <c r="A30" s="1" t="s">
        <v>54</v>
      </c>
      <c r="B30" s="1" t="s">
        <v>55</v>
      </c>
      <c r="C30" s="88" t="s">
        <v>46</v>
      </c>
      <c r="D30" s="14" t="n">
        <f aca="false">'Current Year'!D30</f>
        <v>350</v>
      </c>
      <c r="E30" s="83"/>
      <c r="F30" s="83"/>
      <c r="G30" s="83"/>
      <c r="H30" s="84" t="n">
        <f aca="false">SUM(E30:G30)</f>
        <v>0</v>
      </c>
      <c r="I30" s="83"/>
      <c r="J30" s="83"/>
      <c r="K30" s="83"/>
      <c r="L30" s="84" t="n">
        <f aca="false">SUM(I30:K30)</f>
        <v>0</v>
      </c>
      <c r="M30" s="83"/>
      <c r="N30" s="83"/>
      <c r="O30" s="83"/>
      <c r="P30" s="84" t="n">
        <f aca="false">SUM(M30:O30)</f>
        <v>0</v>
      </c>
      <c r="Q30" s="83"/>
      <c r="R30" s="83"/>
      <c r="S30" s="83"/>
      <c r="T30" s="84" t="n">
        <f aca="false">SUM(Q30:S30)</f>
        <v>0</v>
      </c>
      <c r="U30" s="14" t="n">
        <f aca="false">H30+L30+P30+T30</f>
        <v>0</v>
      </c>
      <c r="V30" s="9" t="n">
        <f aca="false">IF(D30=0,0,U30/D30)</f>
        <v>0</v>
      </c>
    </row>
    <row r="31" customFormat="false" ht="15" hidden="false" customHeight="true" outlineLevel="0" collapsed="false">
      <c r="A31" s="1" t="s">
        <v>56</v>
      </c>
      <c r="B31" s="1" t="s">
        <v>57</v>
      </c>
      <c r="C31" s="88" t="s">
        <v>46</v>
      </c>
      <c r="D31" s="14" t="n">
        <f aca="false">'Current Year'!D31</f>
        <v>3300</v>
      </c>
      <c r="E31" s="83"/>
      <c r="F31" s="83"/>
      <c r="G31" s="83"/>
      <c r="H31" s="84" t="n">
        <f aca="false">SUM(E31:G31)</f>
        <v>0</v>
      </c>
      <c r="I31" s="83"/>
      <c r="J31" s="83"/>
      <c r="K31" s="83"/>
      <c r="L31" s="84" t="n">
        <f aca="false">SUM(I31:K31)</f>
        <v>0</v>
      </c>
      <c r="M31" s="83"/>
      <c r="N31" s="83"/>
      <c r="O31" s="83"/>
      <c r="P31" s="84" t="n">
        <f aca="false">SUM(M31:O31)</f>
        <v>0</v>
      </c>
      <c r="Q31" s="83"/>
      <c r="R31" s="83"/>
      <c r="S31" s="83"/>
      <c r="T31" s="84" t="n">
        <f aca="false">SUM(Q31:S31)</f>
        <v>0</v>
      </c>
      <c r="U31" s="14" t="n">
        <f aca="false">H31+L31+P31+T31</f>
        <v>0</v>
      </c>
      <c r="V31" s="9" t="n">
        <f aca="false">IF(D31=0,0,U31/D31)</f>
        <v>0</v>
      </c>
    </row>
    <row r="32" customFormat="false" ht="15" hidden="false" customHeight="true" outlineLevel="0" collapsed="false">
      <c r="A32" s="1" t="s">
        <v>58</v>
      </c>
      <c r="B32" s="1" t="s">
        <v>59</v>
      </c>
      <c r="C32" s="88" t="s">
        <v>46</v>
      </c>
      <c r="D32" s="14" t="n">
        <f aca="false">'Current Year'!D32</f>
        <v>200</v>
      </c>
      <c r="E32" s="83"/>
      <c r="F32" s="83"/>
      <c r="G32" s="83"/>
      <c r="H32" s="84" t="n">
        <f aca="false">SUM(E32:G32)</f>
        <v>0</v>
      </c>
      <c r="I32" s="83"/>
      <c r="J32" s="83"/>
      <c r="K32" s="83"/>
      <c r="L32" s="84" t="n">
        <f aca="false">SUM(I32:K32)</f>
        <v>0</v>
      </c>
      <c r="M32" s="83"/>
      <c r="N32" s="83"/>
      <c r="O32" s="83"/>
      <c r="P32" s="84" t="n">
        <f aca="false">SUM(M32:O32)</f>
        <v>0</v>
      </c>
      <c r="Q32" s="83"/>
      <c r="R32" s="83"/>
      <c r="S32" s="83"/>
      <c r="T32" s="84" t="n">
        <f aca="false">SUM(Q32:S32)</f>
        <v>0</v>
      </c>
      <c r="U32" s="14" t="n">
        <f aca="false">H32+L32+P32+T32</f>
        <v>0</v>
      </c>
      <c r="V32" s="9" t="n">
        <f aca="false">IF(D32=0,0,U32/D32)</f>
        <v>0</v>
      </c>
    </row>
    <row r="33" customFormat="false" ht="15" hidden="false" customHeight="true" outlineLevel="0" collapsed="false">
      <c r="A33" s="1" t="s">
        <v>60</v>
      </c>
      <c r="B33" s="1" t="s">
        <v>61</v>
      </c>
      <c r="C33" s="88" t="s">
        <v>53</v>
      </c>
      <c r="D33" s="14" t="n">
        <f aca="false">'Current Year'!D33</f>
        <v>18000</v>
      </c>
      <c r="E33" s="83"/>
      <c r="F33" s="83"/>
      <c r="G33" s="83"/>
      <c r="H33" s="84" t="n">
        <f aca="false">SUM(E33:G33)</f>
        <v>0</v>
      </c>
      <c r="I33" s="83"/>
      <c r="J33" s="83"/>
      <c r="K33" s="83"/>
      <c r="L33" s="84" t="n">
        <f aca="false">SUM(I33:K33)</f>
        <v>0</v>
      </c>
      <c r="M33" s="83"/>
      <c r="N33" s="83"/>
      <c r="O33" s="83"/>
      <c r="P33" s="84" t="n">
        <f aca="false">SUM(M33:O33)</f>
        <v>0</v>
      </c>
      <c r="Q33" s="83"/>
      <c r="R33" s="83"/>
      <c r="S33" s="83"/>
      <c r="T33" s="84" t="n">
        <f aca="false">SUM(Q33:S33)</f>
        <v>0</v>
      </c>
      <c r="U33" s="14" t="n">
        <f aca="false">H33+L33+P33+T33</f>
        <v>0</v>
      </c>
      <c r="V33" s="9" t="n">
        <f aca="false">IF(D33=0,0,U33/D33)</f>
        <v>0</v>
      </c>
    </row>
    <row r="34" customFormat="false" ht="15" hidden="false" customHeight="true" outlineLevel="0" collapsed="false">
      <c r="A34" s="1" t="s">
        <v>62</v>
      </c>
      <c r="B34" s="1" t="s">
        <v>63</v>
      </c>
      <c r="C34" s="88" t="s">
        <v>53</v>
      </c>
      <c r="D34" s="14" t="n">
        <f aca="false">'Current Year'!D34</f>
        <v>300</v>
      </c>
      <c r="E34" s="83"/>
      <c r="F34" s="83"/>
      <c r="G34" s="83"/>
      <c r="H34" s="84" t="n">
        <f aca="false">SUM(E34:G34)</f>
        <v>0</v>
      </c>
      <c r="I34" s="83"/>
      <c r="J34" s="83"/>
      <c r="K34" s="83"/>
      <c r="L34" s="84" t="n">
        <f aca="false">SUM(I34:K34)</f>
        <v>0</v>
      </c>
      <c r="M34" s="83"/>
      <c r="N34" s="83"/>
      <c r="O34" s="83"/>
      <c r="P34" s="84" t="n">
        <f aca="false">SUM(M34:O34)</f>
        <v>0</v>
      </c>
      <c r="Q34" s="83"/>
      <c r="R34" s="83"/>
      <c r="S34" s="83"/>
      <c r="T34" s="84" t="n">
        <f aca="false">SUM(Q34:S34)</f>
        <v>0</v>
      </c>
      <c r="U34" s="14" t="n">
        <f aca="false">H34+L34+P34+T34</f>
        <v>0</v>
      </c>
      <c r="V34" s="9" t="n">
        <f aca="false">IF(D34=0,0,U34/D34)</f>
        <v>0</v>
      </c>
    </row>
    <row r="35" customFormat="false" ht="15" hidden="false" customHeight="true" outlineLevel="0" collapsed="false">
      <c r="A35" s="1" t="s">
        <v>64</v>
      </c>
      <c r="B35" s="1" t="s">
        <v>65</v>
      </c>
      <c r="C35" s="88" t="s">
        <v>53</v>
      </c>
      <c r="D35" s="14" t="n">
        <f aca="false">'Current Year'!D35</f>
        <v>1800</v>
      </c>
      <c r="E35" s="83"/>
      <c r="F35" s="83"/>
      <c r="G35" s="83"/>
      <c r="H35" s="84" t="n">
        <f aca="false">SUM(E35:G35)</f>
        <v>0</v>
      </c>
      <c r="I35" s="83"/>
      <c r="J35" s="83"/>
      <c r="K35" s="83"/>
      <c r="L35" s="84" t="n">
        <f aca="false">SUM(I35:K35)</f>
        <v>0</v>
      </c>
      <c r="M35" s="83"/>
      <c r="N35" s="83"/>
      <c r="O35" s="83"/>
      <c r="P35" s="84" t="n">
        <f aca="false">SUM(M35:O35)</f>
        <v>0</v>
      </c>
      <c r="Q35" s="83"/>
      <c r="R35" s="83"/>
      <c r="S35" s="83"/>
      <c r="T35" s="84" t="n">
        <f aca="false">SUM(Q35:S35)</f>
        <v>0</v>
      </c>
      <c r="U35" s="14" t="n">
        <f aca="false">H35+L35+P35+T35</f>
        <v>0</v>
      </c>
      <c r="V35" s="9" t="n">
        <f aca="false">IF(D35=0,0,U35/D35)</f>
        <v>0</v>
      </c>
    </row>
    <row r="36" customFormat="false" ht="15" hidden="false" customHeight="true" outlineLevel="0" collapsed="false">
      <c r="A36" s="1" t="s">
        <v>66</v>
      </c>
      <c r="B36" s="1" t="s">
        <v>67</v>
      </c>
      <c r="C36" s="88" t="s">
        <v>53</v>
      </c>
      <c r="D36" s="14" t="n">
        <f aca="false">'Current Year'!D36</f>
        <v>5000</v>
      </c>
      <c r="E36" s="83"/>
      <c r="F36" s="83"/>
      <c r="G36" s="83"/>
      <c r="H36" s="84" t="n">
        <f aca="false">SUM(E36:G36)</f>
        <v>0</v>
      </c>
      <c r="I36" s="83"/>
      <c r="J36" s="83"/>
      <c r="K36" s="83"/>
      <c r="L36" s="84" t="n">
        <f aca="false">SUM(I36:K36)</f>
        <v>0</v>
      </c>
      <c r="M36" s="83"/>
      <c r="N36" s="83"/>
      <c r="O36" s="83"/>
      <c r="P36" s="84" t="n">
        <f aca="false">SUM(M36:O36)</f>
        <v>0</v>
      </c>
      <c r="Q36" s="83"/>
      <c r="R36" s="83"/>
      <c r="S36" s="83"/>
      <c r="T36" s="84" t="n">
        <f aca="false">SUM(Q36:S36)</f>
        <v>0</v>
      </c>
      <c r="U36" s="14" t="n">
        <f aca="false">H36+L36+P36+T36</f>
        <v>0</v>
      </c>
      <c r="V36" s="9" t="n">
        <f aca="false">IF(D36=0,0,U36/D36)</f>
        <v>0</v>
      </c>
    </row>
    <row r="37" customFormat="false" ht="15" hidden="false" customHeight="true" outlineLevel="0" collapsed="false">
      <c r="A37" s="1" t="s">
        <v>68</v>
      </c>
      <c r="B37" s="1" t="s">
        <v>69</v>
      </c>
      <c r="C37" s="88" t="s">
        <v>46</v>
      </c>
      <c r="D37" s="14" t="n">
        <f aca="false">'Current Year'!D37</f>
        <v>1800</v>
      </c>
      <c r="E37" s="83"/>
      <c r="F37" s="83"/>
      <c r="G37" s="83"/>
      <c r="H37" s="84" t="n">
        <f aca="false">SUM(E37:G37)</f>
        <v>0</v>
      </c>
      <c r="I37" s="83"/>
      <c r="J37" s="83"/>
      <c r="K37" s="83"/>
      <c r="L37" s="84" t="n">
        <f aca="false">SUM(I37:K37)</f>
        <v>0</v>
      </c>
      <c r="M37" s="83"/>
      <c r="N37" s="83"/>
      <c r="O37" s="83"/>
      <c r="P37" s="84" t="n">
        <f aca="false">SUM(M37:O37)</f>
        <v>0</v>
      </c>
      <c r="Q37" s="83"/>
      <c r="R37" s="83"/>
      <c r="S37" s="83"/>
      <c r="T37" s="84" t="n">
        <f aca="false">SUM(Q37:S37)</f>
        <v>0</v>
      </c>
      <c r="U37" s="14" t="n">
        <f aca="false">H37+L37+P37+T37</f>
        <v>0</v>
      </c>
      <c r="V37" s="9" t="n">
        <f aca="false">IF(D37=0,0,U37/D37)</f>
        <v>0</v>
      </c>
    </row>
    <row r="38" customFormat="false" ht="15" hidden="false" customHeight="true" outlineLevel="0" collapsed="false">
      <c r="A38" s="1" t="s">
        <v>70</v>
      </c>
      <c r="B38" s="1" t="s">
        <v>71</v>
      </c>
      <c r="C38" s="88" t="s">
        <v>46</v>
      </c>
      <c r="D38" s="14" t="n">
        <f aca="false">'Current Year'!D38</f>
        <v>1000</v>
      </c>
      <c r="E38" s="83"/>
      <c r="F38" s="83"/>
      <c r="G38" s="83"/>
      <c r="H38" s="84" t="n">
        <f aca="false">SUM(E38:G38)</f>
        <v>0</v>
      </c>
      <c r="I38" s="83"/>
      <c r="J38" s="83"/>
      <c r="K38" s="83"/>
      <c r="L38" s="84" t="n">
        <f aca="false">SUM(I38:K38)</f>
        <v>0</v>
      </c>
      <c r="M38" s="83"/>
      <c r="N38" s="83"/>
      <c r="O38" s="83"/>
      <c r="P38" s="84" t="n">
        <f aca="false">SUM(M38:O38)</f>
        <v>0</v>
      </c>
      <c r="Q38" s="83"/>
      <c r="R38" s="83"/>
      <c r="S38" s="83"/>
      <c r="T38" s="84" t="n">
        <f aca="false">SUM(Q38:S38)</f>
        <v>0</v>
      </c>
      <c r="U38" s="14" t="n">
        <f aca="false">H38+L38+P38+T38</f>
        <v>0</v>
      </c>
      <c r="V38" s="9" t="n">
        <f aca="false">IF(D38=0,0,U38/D38)</f>
        <v>0</v>
      </c>
    </row>
    <row r="39" customFormat="false" ht="15" hidden="false" customHeight="true" outlineLevel="0" collapsed="false">
      <c r="A39" s="1" t="s">
        <v>72</v>
      </c>
      <c r="B39" s="1" t="s">
        <v>73</v>
      </c>
      <c r="C39" s="88" t="s">
        <v>53</v>
      </c>
      <c r="D39" s="14" t="n">
        <f aca="false">'Current Year'!D39</f>
        <v>250</v>
      </c>
      <c r="E39" s="83"/>
      <c r="F39" s="83"/>
      <c r="G39" s="83"/>
      <c r="H39" s="84" t="n">
        <f aca="false">SUM(E39:G39)</f>
        <v>0</v>
      </c>
      <c r="I39" s="83"/>
      <c r="J39" s="83"/>
      <c r="K39" s="83"/>
      <c r="L39" s="84" t="n">
        <f aca="false">SUM(I39:K39)</f>
        <v>0</v>
      </c>
      <c r="M39" s="83"/>
      <c r="N39" s="83"/>
      <c r="O39" s="83"/>
      <c r="P39" s="84" t="n">
        <f aca="false">SUM(M39:O39)</f>
        <v>0</v>
      </c>
      <c r="Q39" s="83"/>
      <c r="R39" s="83"/>
      <c r="S39" s="83"/>
      <c r="T39" s="84" t="n">
        <f aca="false">SUM(Q39:S39)</f>
        <v>0</v>
      </c>
      <c r="U39" s="14" t="n">
        <f aca="false">H39+L39+P39+T39</f>
        <v>0</v>
      </c>
      <c r="V39" s="9" t="n">
        <f aca="false">IF(D39=0,0,U39/D39)</f>
        <v>0</v>
      </c>
    </row>
    <row r="40" customFormat="false" ht="15" hidden="false" customHeight="true" outlineLevel="0" collapsed="false">
      <c r="A40" s="1" t="s">
        <v>74</v>
      </c>
      <c r="B40" s="1" t="s">
        <v>75</v>
      </c>
      <c r="C40" s="88" t="s">
        <v>76</v>
      </c>
      <c r="D40" s="14" t="n">
        <f aca="false">'Current Year'!D40</f>
        <v>50000</v>
      </c>
      <c r="E40" s="83"/>
      <c r="F40" s="83"/>
      <c r="G40" s="83"/>
      <c r="H40" s="84" t="n">
        <f aca="false">SUM(E40:G40)</f>
        <v>0</v>
      </c>
      <c r="I40" s="83"/>
      <c r="J40" s="83"/>
      <c r="K40" s="83"/>
      <c r="L40" s="84" t="n">
        <f aca="false">SUM(I40:K40)</f>
        <v>0</v>
      </c>
      <c r="M40" s="83"/>
      <c r="N40" s="83"/>
      <c r="O40" s="83"/>
      <c r="P40" s="84" t="n">
        <f aca="false">SUM(M40:O40)</f>
        <v>0</v>
      </c>
      <c r="Q40" s="83"/>
      <c r="R40" s="83"/>
      <c r="S40" s="83"/>
      <c r="T40" s="84" t="n">
        <f aca="false">SUM(Q40:S40)</f>
        <v>0</v>
      </c>
      <c r="U40" s="14" t="n">
        <f aca="false">H40+L40+P40+T40</f>
        <v>0</v>
      </c>
      <c r="V40" s="9" t="n">
        <f aca="false">IF(D40=0,0,U40/D40)</f>
        <v>0</v>
      </c>
    </row>
    <row r="41" customFormat="false" ht="15" hidden="false" customHeight="true" outlineLevel="0" collapsed="false">
      <c r="A41" s="1" t="s">
        <v>77</v>
      </c>
      <c r="B41" s="1" t="s">
        <v>78</v>
      </c>
      <c r="C41" s="88" t="s">
        <v>37</v>
      </c>
      <c r="D41" s="14" t="n">
        <f aca="false">'Current Year'!D41</f>
        <v>79783</v>
      </c>
      <c r="E41" s="83"/>
      <c r="F41" s="83"/>
      <c r="G41" s="83"/>
      <c r="H41" s="84" t="n">
        <f aca="false">SUM(E41:G41)</f>
        <v>0</v>
      </c>
      <c r="I41" s="83"/>
      <c r="J41" s="83"/>
      <c r="K41" s="83"/>
      <c r="L41" s="84" t="n">
        <f aca="false">SUM(I41:K41)</f>
        <v>0</v>
      </c>
      <c r="M41" s="83"/>
      <c r="N41" s="83"/>
      <c r="O41" s="83"/>
      <c r="P41" s="84" t="n">
        <f aca="false">SUM(M41:O41)</f>
        <v>0</v>
      </c>
      <c r="Q41" s="83"/>
      <c r="R41" s="83"/>
      <c r="S41" s="83"/>
      <c r="T41" s="84" t="n">
        <f aca="false">SUM(Q41:S41)</f>
        <v>0</v>
      </c>
      <c r="U41" s="14" t="n">
        <f aca="false">H41+L41+P41+T41</f>
        <v>0</v>
      </c>
      <c r="V41" s="9" t="n">
        <f aca="false">IF(D41=0,0,U41/D41)</f>
        <v>0</v>
      </c>
    </row>
    <row r="42" customFormat="false" ht="15" hidden="false" customHeight="true" outlineLevel="0" collapsed="false">
      <c r="A42" s="1" t="s">
        <v>79</v>
      </c>
      <c r="B42" s="1" t="s">
        <v>80</v>
      </c>
      <c r="C42" s="88" t="s">
        <v>53</v>
      </c>
      <c r="D42" s="14" t="n">
        <f aca="false">'Current Year'!D42</f>
        <v>22795</v>
      </c>
      <c r="E42" s="83"/>
      <c r="F42" s="83"/>
      <c r="G42" s="83"/>
      <c r="H42" s="84" t="n">
        <f aca="false">SUM(E42:G42)</f>
        <v>0</v>
      </c>
      <c r="I42" s="83"/>
      <c r="J42" s="83"/>
      <c r="K42" s="83"/>
      <c r="L42" s="84" t="n">
        <f aca="false">SUM(I42:K42)</f>
        <v>0</v>
      </c>
      <c r="M42" s="83"/>
      <c r="N42" s="83"/>
      <c r="O42" s="83"/>
      <c r="P42" s="84" t="n">
        <f aca="false">SUM(M42:O42)</f>
        <v>0</v>
      </c>
      <c r="Q42" s="83"/>
      <c r="R42" s="83"/>
      <c r="S42" s="83"/>
      <c r="T42" s="84" t="n">
        <f aca="false">SUM(Q42:S42)</f>
        <v>0</v>
      </c>
      <c r="U42" s="14" t="n">
        <f aca="false">H42+L42+P42+T42</f>
        <v>0</v>
      </c>
      <c r="V42" s="9" t="n">
        <f aca="false">IF(D42=0,0,U42/D42)</f>
        <v>0</v>
      </c>
    </row>
    <row r="43" customFormat="false" ht="15" hidden="false" customHeight="true" outlineLevel="0" collapsed="false">
      <c r="A43" s="1" t="s">
        <v>81</v>
      </c>
      <c r="B43" s="1" t="s">
        <v>82</v>
      </c>
      <c r="C43" s="88" t="s">
        <v>46</v>
      </c>
      <c r="D43" s="14" t="n">
        <f aca="false">'Current Year'!D43</f>
        <v>22795</v>
      </c>
      <c r="E43" s="83"/>
      <c r="F43" s="83"/>
      <c r="G43" s="83"/>
      <c r="H43" s="84" t="n">
        <f aca="false">SUM(E43:G43)</f>
        <v>0</v>
      </c>
      <c r="I43" s="83"/>
      <c r="J43" s="83"/>
      <c r="K43" s="83"/>
      <c r="L43" s="84" t="n">
        <f aca="false">SUM(I43:K43)</f>
        <v>0</v>
      </c>
      <c r="M43" s="83"/>
      <c r="N43" s="83"/>
      <c r="O43" s="83"/>
      <c r="P43" s="84" t="n">
        <f aca="false">SUM(M43:O43)</f>
        <v>0</v>
      </c>
      <c r="Q43" s="83"/>
      <c r="R43" s="83"/>
      <c r="S43" s="83"/>
      <c r="T43" s="84" t="n">
        <f aca="false">SUM(Q43:S43)</f>
        <v>0</v>
      </c>
      <c r="U43" s="14" t="n">
        <f aca="false">H43+L43+P43+T43</f>
        <v>0</v>
      </c>
      <c r="V43" s="9" t="n">
        <f aca="false">IF(D43=0,0,U43/D43)</f>
        <v>0</v>
      </c>
    </row>
    <row r="44" customFormat="false" ht="15" hidden="false" customHeight="true" outlineLevel="0" collapsed="false">
      <c r="A44" s="1" t="s">
        <v>83</v>
      </c>
      <c r="B44" s="1" t="s">
        <v>84</v>
      </c>
      <c r="C44" s="88" t="s">
        <v>37</v>
      </c>
      <c r="D44" s="14" t="n">
        <f aca="false">'Current Year'!D44</f>
        <v>50150</v>
      </c>
      <c r="E44" s="83"/>
      <c r="F44" s="83"/>
      <c r="G44" s="83"/>
      <c r="H44" s="84" t="n">
        <f aca="false">SUM(E44:G44)</f>
        <v>0</v>
      </c>
      <c r="I44" s="83"/>
      <c r="J44" s="83"/>
      <c r="K44" s="83"/>
      <c r="L44" s="84" t="n">
        <f aca="false">SUM(I44:K44)</f>
        <v>0</v>
      </c>
      <c r="M44" s="83"/>
      <c r="N44" s="83"/>
      <c r="O44" s="83"/>
      <c r="P44" s="84" t="n">
        <f aca="false">SUM(M44:O44)</f>
        <v>0</v>
      </c>
      <c r="Q44" s="83"/>
      <c r="R44" s="83"/>
      <c r="S44" s="83"/>
      <c r="T44" s="84" t="n">
        <f aca="false">SUM(Q44:S44)</f>
        <v>0</v>
      </c>
      <c r="U44" s="14" t="n">
        <f aca="false">H44+L44+P44+T44</f>
        <v>0</v>
      </c>
      <c r="V44" s="9" t="n">
        <f aca="false">IF(D44=0,0,U44/D44)</f>
        <v>0</v>
      </c>
    </row>
    <row r="45" customFormat="false" ht="15" hidden="false" customHeight="true" outlineLevel="0" collapsed="false">
      <c r="A45" s="1" t="s">
        <v>85</v>
      </c>
      <c r="B45" s="1" t="s">
        <v>86</v>
      </c>
      <c r="C45" s="88" t="s">
        <v>53</v>
      </c>
      <c r="D45" s="14" t="n">
        <f aca="false">'Current Year'!D45</f>
        <v>75224</v>
      </c>
      <c r="E45" s="83"/>
      <c r="F45" s="83"/>
      <c r="G45" s="83"/>
      <c r="H45" s="84" t="n">
        <f aca="false">SUM(E45:G45)</f>
        <v>0</v>
      </c>
      <c r="I45" s="83"/>
      <c r="J45" s="83"/>
      <c r="K45" s="83"/>
      <c r="L45" s="84" t="n">
        <f aca="false">SUM(I45:K45)</f>
        <v>0</v>
      </c>
      <c r="M45" s="83"/>
      <c r="N45" s="83"/>
      <c r="O45" s="83"/>
      <c r="P45" s="84" t="n">
        <f aca="false">SUM(M45:O45)</f>
        <v>0</v>
      </c>
      <c r="Q45" s="83"/>
      <c r="R45" s="83"/>
      <c r="S45" s="83"/>
      <c r="T45" s="84" t="n">
        <f aca="false">SUM(Q45:S45)</f>
        <v>0</v>
      </c>
      <c r="U45" s="14" t="n">
        <f aca="false">H45+L45+P45+T45</f>
        <v>0</v>
      </c>
      <c r="V45" s="9" t="n">
        <f aca="false">IF(D45=0,0,U45/D45)</f>
        <v>0</v>
      </c>
    </row>
    <row r="46" customFormat="false" ht="15" hidden="false" customHeight="true" outlineLevel="0" collapsed="false">
      <c r="A46" s="1" t="s">
        <v>87</v>
      </c>
      <c r="B46" s="1" t="s">
        <v>88</v>
      </c>
      <c r="C46" s="88" t="s">
        <v>53</v>
      </c>
      <c r="D46" s="14" t="n">
        <f aca="false">'Current Year'!D46</f>
        <v>22400</v>
      </c>
      <c r="E46" s="83"/>
      <c r="F46" s="83"/>
      <c r="G46" s="83"/>
      <c r="H46" s="84" t="n">
        <f aca="false">SUM(E46:G46)</f>
        <v>0</v>
      </c>
      <c r="I46" s="83"/>
      <c r="J46" s="83"/>
      <c r="K46" s="83"/>
      <c r="L46" s="84" t="n">
        <f aca="false">SUM(I46:K46)</f>
        <v>0</v>
      </c>
      <c r="M46" s="83"/>
      <c r="N46" s="83"/>
      <c r="O46" s="83"/>
      <c r="P46" s="84" t="n">
        <f aca="false">SUM(M46:O46)</f>
        <v>0</v>
      </c>
      <c r="Q46" s="83"/>
      <c r="R46" s="83"/>
      <c r="S46" s="83"/>
      <c r="T46" s="84" t="n">
        <f aca="false">SUM(Q46:S46)</f>
        <v>0</v>
      </c>
      <c r="U46" s="14" t="n">
        <f aca="false">H46+L46+P46+T46</f>
        <v>0</v>
      </c>
      <c r="V46" s="9" t="n">
        <f aca="false">IF(D46=0,0,U46/D46)</f>
        <v>0</v>
      </c>
    </row>
    <row r="47" customFormat="false" ht="15" hidden="false" customHeight="true" outlineLevel="0" collapsed="false">
      <c r="A47" s="1" t="s">
        <v>89</v>
      </c>
      <c r="B47" s="1" t="s">
        <v>90</v>
      </c>
      <c r="C47" s="88" t="s">
        <v>46</v>
      </c>
      <c r="D47" s="14" t="n">
        <f aca="false">'Current Year'!D47</f>
        <v>5600</v>
      </c>
      <c r="E47" s="83"/>
      <c r="F47" s="83"/>
      <c r="G47" s="83"/>
      <c r="H47" s="84" t="n">
        <f aca="false">SUM(E47:G47)</f>
        <v>0</v>
      </c>
      <c r="I47" s="83"/>
      <c r="J47" s="83"/>
      <c r="K47" s="83"/>
      <c r="L47" s="84" t="n">
        <f aca="false">SUM(I47:K47)</f>
        <v>0</v>
      </c>
      <c r="M47" s="83"/>
      <c r="N47" s="83"/>
      <c r="O47" s="83"/>
      <c r="P47" s="84" t="n">
        <f aca="false">SUM(M47:O47)</f>
        <v>0</v>
      </c>
      <c r="Q47" s="83"/>
      <c r="R47" s="83"/>
      <c r="S47" s="83"/>
      <c r="T47" s="84" t="n">
        <f aca="false">SUM(Q47:S47)</f>
        <v>0</v>
      </c>
      <c r="U47" s="14" t="n">
        <f aca="false">H47+L47+P47+T47</f>
        <v>0</v>
      </c>
      <c r="V47" s="9" t="n">
        <f aca="false">IF(D47=0,0,U47/D47)</f>
        <v>0</v>
      </c>
    </row>
    <row r="48" customFormat="false" ht="15" hidden="false" customHeight="true" outlineLevel="0" collapsed="false">
      <c r="A48" s="1" t="s">
        <v>91</v>
      </c>
      <c r="B48" s="1" t="s">
        <v>92</v>
      </c>
      <c r="C48" s="88" t="s">
        <v>37</v>
      </c>
      <c r="D48" s="14" t="n">
        <f aca="false">'Current Year'!D48</f>
        <v>25000</v>
      </c>
      <c r="E48" s="83"/>
      <c r="F48" s="83"/>
      <c r="G48" s="83"/>
      <c r="H48" s="84" t="n">
        <f aca="false">SUM(E48:G48)</f>
        <v>0</v>
      </c>
      <c r="I48" s="83"/>
      <c r="J48" s="83"/>
      <c r="K48" s="83"/>
      <c r="L48" s="84" t="n">
        <f aca="false">SUM(I48:K48)</f>
        <v>0</v>
      </c>
      <c r="M48" s="83"/>
      <c r="N48" s="83"/>
      <c r="O48" s="83"/>
      <c r="P48" s="84" t="n">
        <f aca="false">SUM(M48:O48)</f>
        <v>0</v>
      </c>
      <c r="Q48" s="83"/>
      <c r="R48" s="83"/>
      <c r="S48" s="83"/>
      <c r="T48" s="84" t="n">
        <f aca="false">SUM(Q48:S48)</f>
        <v>0</v>
      </c>
      <c r="U48" s="14" t="n">
        <f aca="false">H48+L48+P48+T48</f>
        <v>0</v>
      </c>
      <c r="V48" s="9" t="n">
        <f aca="false">IF(D48=0,0,U48/D48)</f>
        <v>0</v>
      </c>
    </row>
    <row r="49" customFormat="false" ht="15" hidden="false" customHeight="true" outlineLevel="0" collapsed="false">
      <c r="A49" s="1" t="s">
        <v>93</v>
      </c>
      <c r="B49" s="1" t="s">
        <v>94</v>
      </c>
      <c r="C49" s="88" t="s">
        <v>53</v>
      </c>
      <c r="D49" s="14" t="n">
        <f aca="false">'Current Year'!D49</f>
        <v>25000</v>
      </c>
      <c r="E49" s="83"/>
      <c r="F49" s="83"/>
      <c r="G49" s="83"/>
      <c r="H49" s="84" t="n">
        <f aca="false">SUM(E49:G49)</f>
        <v>0</v>
      </c>
      <c r="I49" s="83"/>
      <c r="J49" s="83"/>
      <c r="K49" s="83"/>
      <c r="L49" s="84" t="n">
        <f aca="false">SUM(I49:K49)</f>
        <v>0</v>
      </c>
      <c r="M49" s="83"/>
      <c r="N49" s="83"/>
      <c r="O49" s="83"/>
      <c r="P49" s="84" t="n">
        <f aca="false">SUM(M49:O49)</f>
        <v>0</v>
      </c>
      <c r="Q49" s="83"/>
      <c r="R49" s="83"/>
      <c r="S49" s="83"/>
      <c r="T49" s="84" t="n">
        <f aca="false">SUM(Q49:S49)</f>
        <v>0</v>
      </c>
      <c r="U49" s="14" t="n">
        <f aca="false">H49+L49+P49+T49</f>
        <v>0</v>
      </c>
      <c r="V49" s="9" t="n">
        <f aca="false">IF(D49=0,0,U49/D49)</f>
        <v>0</v>
      </c>
    </row>
    <row r="50" customFormat="false" ht="15" hidden="false" customHeight="true" outlineLevel="0" collapsed="false">
      <c r="A50" s="1" t="s">
        <v>95</v>
      </c>
      <c r="B50" s="1" t="s">
        <v>96</v>
      </c>
      <c r="C50" s="88" t="s">
        <v>46</v>
      </c>
      <c r="D50" s="14" t="n">
        <f aca="false">'Current Year'!D50</f>
        <v>20000</v>
      </c>
      <c r="E50" s="83"/>
      <c r="F50" s="83"/>
      <c r="G50" s="83"/>
      <c r="H50" s="84" t="n">
        <f aca="false">SUM(E50:G50)</f>
        <v>0</v>
      </c>
      <c r="I50" s="83"/>
      <c r="J50" s="83"/>
      <c r="K50" s="83"/>
      <c r="L50" s="84" t="n">
        <f aca="false">SUM(I50:K50)</f>
        <v>0</v>
      </c>
      <c r="M50" s="83"/>
      <c r="N50" s="83"/>
      <c r="O50" s="83"/>
      <c r="P50" s="84" t="n">
        <f aca="false">SUM(M50:O50)</f>
        <v>0</v>
      </c>
      <c r="Q50" s="83"/>
      <c r="R50" s="83"/>
      <c r="S50" s="83"/>
      <c r="T50" s="84" t="n">
        <f aca="false">SUM(Q50:S50)</f>
        <v>0</v>
      </c>
      <c r="U50" s="14" t="n">
        <f aca="false">H50+L50+P50+T50</f>
        <v>0</v>
      </c>
      <c r="V50" s="9" t="n">
        <f aca="false">IF(D50=0,0,U50/D50)</f>
        <v>0</v>
      </c>
    </row>
    <row r="51" customFormat="false" ht="15" hidden="false" customHeight="true" outlineLevel="0" collapsed="false">
      <c r="A51" s="53" t="s">
        <v>97</v>
      </c>
      <c r="B51" s="89"/>
      <c r="C51" s="89"/>
      <c r="D51" s="90" t="n">
        <f aca="false">SUM(D22:D50)</f>
        <v>478847</v>
      </c>
      <c r="E51" s="90" t="n">
        <f aca="false">SUM(E22:E50)</f>
        <v>0</v>
      </c>
      <c r="F51" s="90" t="n">
        <f aca="false">SUM(F22:F50)</f>
        <v>0</v>
      </c>
      <c r="G51" s="90" t="n">
        <f aca="false">SUM(G22:G50)</f>
        <v>0</v>
      </c>
      <c r="H51" s="73" t="n">
        <f aca="false">SUM(H22:H50)</f>
        <v>0</v>
      </c>
      <c r="I51" s="90" t="n">
        <f aca="false">SUM(I22:I50)</f>
        <v>0</v>
      </c>
      <c r="J51" s="90" t="n">
        <f aca="false">SUM(J22:J50)</f>
        <v>0</v>
      </c>
      <c r="K51" s="90" t="n">
        <f aca="false">SUM(K22:K50)</f>
        <v>0</v>
      </c>
      <c r="L51" s="73" t="n">
        <f aca="false">SUM(L22:L50)</f>
        <v>0</v>
      </c>
      <c r="M51" s="90" t="n">
        <f aca="false">SUM(M22:M50)</f>
        <v>0</v>
      </c>
      <c r="N51" s="90" t="n">
        <f aca="false">SUM(N22:N50)</f>
        <v>0</v>
      </c>
      <c r="O51" s="90" t="n">
        <f aca="false">SUM(O22:O50)</f>
        <v>0</v>
      </c>
      <c r="P51" s="73" t="n">
        <f aca="false">SUM(P22:P50)</f>
        <v>0</v>
      </c>
      <c r="Q51" s="90" t="n">
        <f aca="false">SUM(Q22:Q50)</f>
        <v>0</v>
      </c>
      <c r="R51" s="90" t="n">
        <f aca="false">SUM(R22:R50)</f>
        <v>0</v>
      </c>
      <c r="S51" s="90" t="n">
        <f aca="false">SUM(S22:S50)</f>
        <v>0</v>
      </c>
      <c r="T51" s="73" t="n">
        <f aca="false">SUM(T22:T50)</f>
        <v>0</v>
      </c>
      <c r="U51" s="90" t="n">
        <f aca="false">SUM(U22:U50)</f>
        <v>0</v>
      </c>
      <c r="V51" s="91" t="n">
        <f aca="false">IF(D51=0,0,U51/D51)</f>
        <v>0</v>
      </c>
    </row>
    <row r="52" customFormat="false" ht="15.75" hidden="false" customHeight="true" outlineLevel="0" collapsed="false"/>
    <row r="53" customFormat="false" ht="15" hidden="false" customHeight="true" outlineLevel="0" collapsed="false">
      <c r="A53" s="29" t="s">
        <v>101</v>
      </c>
      <c r="B53" s="29"/>
      <c r="C53" s="30"/>
      <c r="D53" s="31" t="n">
        <f aca="false">D19-D51</f>
        <v>28153</v>
      </c>
      <c r="E53" s="31" t="n">
        <f aca="false">E19-E51</f>
        <v>0</v>
      </c>
      <c r="F53" s="31" t="n">
        <f aca="false">F19-F51</f>
        <v>0</v>
      </c>
      <c r="G53" s="31" t="n">
        <f aca="false">G19-G51</f>
        <v>0</v>
      </c>
      <c r="H53" s="92" t="n">
        <f aca="false">H19-H51</f>
        <v>0</v>
      </c>
      <c r="I53" s="31" t="n">
        <f aca="false">I19-I51</f>
        <v>0</v>
      </c>
      <c r="J53" s="31" t="n">
        <f aca="false">J19-J51</f>
        <v>0</v>
      </c>
      <c r="K53" s="31" t="n">
        <f aca="false">K19-K51</f>
        <v>0</v>
      </c>
      <c r="L53" s="92" t="n">
        <f aca="false">L19-L51</f>
        <v>0</v>
      </c>
      <c r="M53" s="31" t="n">
        <f aca="false">M19-M51</f>
        <v>0</v>
      </c>
      <c r="N53" s="31" t="n">
        <f aca="false">N19-N51</f>
        <v>0</v>
      </c>
      <c r="O53" s="31" t="n">
        <f aca="false">O19-O51</f>
        <v>0</v>
      </c>
      <c r="P53" s="92" t="n">
        <f aca="false">P19-P51</f>
        <v>0</v>
      </c>
      <c r="Q53" s="31" t="n">
        <f aca="false">Q19-Q51</f>
        <v>0</v>
      </c>
      <c r="R53" s="31" t="n">
        <f aca="false">R19-R51</f>
        <v>0</v>
      </c>
      <c r="S53" s="31" t="n">
        <f aca="false">S19-S51</f>
        <v>0</v>
      </c>
      <c r="T53" s="92" t="n">
        <f aca="false">T19-T51</f>
        <v>0</v>
      </c>
      <c r="U53" s="31" t="n">
        <f aca="false">U19-U51</f>
        <v>0</v>
      </c>
      <c r="V53" s="30"/>
    </row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" hidden="false" customHeight="true" outlineLevel="0" collapsed="false">
      <c r="A56" s="6" t="s">
        <v>162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customFormat="false" ht="15" hidden="false" customHeight="true" outlineLevel="0" collapsed="false">
      <c r="C57" s="27" t="s">
        <v>37</v>
      </c>
      <c r="D57" s="28" t="n">
        <f aca="false">SUMIF(C22:C50,"Development",D22:D50)</f>
        <v>185533</v>
      </c>
      <c r="E57" s="28" t="n">
        <f aca="false">SUMIF($C$22:$C$50,"Development",E22:E50)</f>
        <v>0</v>
      </c>
      <c r="F57" s="28" t="n">
        <f aca="false">SUMIF($C$22:$C$50,"Development",F22:F50)</f>
        <v>0</v>
      </c>
      <c r="G57" s="28" t="n">
        <f aca="false">SUMIF($C$22:$C$50,"Development",G22:G50)</f>
        <v>0</v>
      </c>
      <c r="H57" s="93" t="n">
        <f aca="false">SUMIF($C$22:$C$50,"Development",H22:H50)</f>
        <v>0</v>
      </c>
      <c r="I57" s="28" t="n">
        <f aca="false">SUMIF($C$22:$C$50,"Development",I22:I50)</f>
        <v>0</v>
      </c>
      <c r="J57" s="28" t="n">
        <f aca="false">SUMIF($C$22:$C$50,"Development",J22:J50)</f>
        <v>0</v>
      </c>
      <c r="K57" s="28" t="n">
        <f aca="false">SUMIF($C$22:$C$50,"Development",K22:K50)</f>
        <v>0</v>
      </c>
      <c r="L57" s="93" t="n">
        <f aca="false">SUMIF($C$22:$C$50,"Development",L22:L50)</f>
        <v>0</v>
      </c>
      <c r="M57" s="28" t="n">
        <f aca="false">SUMIF($C$22:$C$50,"Development",M22:M50)</f>
        <v>0</v>
      </c>
      <c r="N57" s="28" t="n">
        <f aca="false">SUMIF($C$22:$C$50,"Development",N22:N50)</f>
        <v>0</v>
      </c>
      <c r="O57" s="28" t="n">
        <f aca="false">SUMIF($C$22:$C$50,"Development",O22:O50)</f>
        <v>0</v>
      </c>
      <c r="P57" s="93" t="n">
        <f aca="false">SUMIF($C$22:$C$50,"Development",P22:P50)</f>
        <v>0</v>
      </c>
      <c r="Q57" s="28" t="n">
        <f aca="false">SUMIF($C$22:$C$50,"Development",Q22:Q50)</f>
        <v>0</v>
      </c>
      <c r="R57" s="28" t="n">
        <f aca="false">SUMIF($C$22:$C$50,"Development",R22:R50)</f>
        <v>0</v>
      </c>
      <c r="S57" s="28" t="n">
        <f aca="false">SUMIF($C$22:$C$50,"Development",S22:S50)</f>
        <v>0</v>
      </c>
      <c r="T57" s="93" t="n">
        <f aca="false">SUMIF($C$22:$C$50,"Development",T22:T50)</f>
        <v>0</v>
      </c>
      <c r="U57" s="28" t="n">
        <f aca="false">SUMIF($C$22:$C$50,"Development",U22:U50)</f>
        <v>0</v>
      </c>
      <c r="V57" s="94" t="n">
        <f aca="false">IF(D57=0,0,U57/D57)</f>
        <v>0</v>
      </c>
    </row>
    <row r="58" customFormat="false" ht="15" hidden="false" customHeight="true" outlineLevel="0" collapsed="false">
      <c r="C58" s="27" t="s">
        <v>53</v>
      </c>
      <c r="D58" s="28" t="n">
        <f aca="false">SUMIF(C22:C50,"Programs",D22:D50)</f>
        <v>173269</v>
      </c>
      <c r="E58" s="28" t="n">
        <f aca="false">SUMIF($C$22:$C$50,"Programs",E22:E50)</f>
        <v>0</v>
      </c>
      <c r="F58" s="28" t="n">
        <f aca="false">SUMIF($C$22:$C$50,"Programs",F22:F50)</f>
        <v>0</v>
      </c>
      <c r="G58" s="28" t="n">
        <f aca="false">SUMIF($C$22:$C$50,"Programs",G22:G50)</f>
        <v>0</v>
      </c>
      <c r="H58" s="93" t="n">
        <f aca="false">SUMIF($C$22:$C$50,"Programs",H22:H50)</f>
        <v>0</v>
      </c>
      <c r="I58" s="28" t="n">
        <f aca="false">SUMIF($C$22:$C$50,"Programs",I22:I50)</f>
        <v>0</v>
      </c>
      <c r="J58" s="28" t="n">
        <f aca="false">SUMIF($C$22:$C$50,"Programs",J22:J50)</f>
        <v>0</v>
      </c>
      <c r="K58" s="28" t="n">
        <f aca="false">SUMIF($C$22:$C$50,"Programs",K22:K50)</f>
        <v>0</v>
      </c>
      <c r="L58" s="93" t="n">
        <f aca="false">SUMIF($C$22:$C$50,"Programs",L22:L50)</f>
        <v>0</v>
      </c>
      <c r="M58" s="28" t="n">
        <f aca="false">SUMIF($C$22:$C$50,"Programs",M22:M50)</f>
        <v>0</v>
      </c>
      <c r="N58" s="28" t="n">
        <f aca="false">SUMIF($C$22:$C$50,"Programs",N22:N50)</f>
        <v>0</v>
      </c>
      <c r="O58" s="28" t="n">
        <f aca="false">SUMIF($C$22:$C$50,"Programs",O22:O50)</f>
        <v>0</v>
      </c>
      <c r="P58" s="93" t="n">
        <f aca="false">SUMIF($C$22:$C$50,"Programs",P22:P50)</f>
        <v>0</v>
      </c>
      <c r="Q58" s="28" t="n">
        <f aca="false">SUMIF($C$22:$C$50,"Programs",Q22:Q50)</f>
        <v>0</v>
      </c>
      <c r="R58" s="28" t="n">
        <f aca="false">SUMIF($C$22:$C$50,"Programs",R22:R50)</f>
        <v>0</v>
      </c>
      <c r="S58" s="28" t="n">
        <f aca="false">SUMIF($C$22:$C$50,"Programs",S22:S50)</f>
        <v>0</v>
      </c>
      <c r="T58" s="93" t="n">
        <f aca="false">SUMIF($C$22:$C$50,"Programs",T22:T50)</f>
        <v>0</v>
      </c>
      <c r="U58" s="28" t="n">
        <f aca="false">SUMIF($C$22:$C$50,"Programs",U22:U50)</f>
        <v>0</v>
      </c>
      <c r="V58" s="94" t="n">
        <f aca="false">IF(D58=0,0,U58/D58)</f>
        <v>0</v>
      </c>
    </row>
    <row r="59" customFormat="false" ht="15" hidden="false" customHeight="true" outlineLevel="0" collapsed="false">
      <c r="C59" s="27" t="s">
        <v>46</v>
      </c>
      <c r="D59" s="28" t="n">
        <f aca="false">SUMIF(C22:C50,"Overhead",D22:D50)</f>
        <v>70045</v>
      </c>
      <c r="E59" s="28" t="n">
        <f aca="false">SUMIF($C$22:$C$50,"Overhead",E22:E50)</f>
        <v>0</v>
      </c>
      <c r="F59" s="28" t="n">
        <f aca="false">SUMIF($C$22:$C$50,"Overhead",F22:F50)</f>
        <v>0</v>
      </c>
      <c r="G59" s="28" t="n">
        <f aca="false">SUMIF($C$22:$C$50,"Overhead",G22:G50)</f>
        <v>0</v>
      </c>
      <c r="H59" s="93" t="n">
        <f aca="false">SUMIF($C$22:$C$50,"Overhead",H22:H50)</f>
        <v>0</v>
      </c>
      <c r="I59" s="28" t="n">
        <f aca="false">SUMIF($C$22:$C$50,"Overhead",I22:I50)</f>
        <v>0</v>
      </c>
      <c r="J59" s="28" t="n">
        <f aca="false">SUMIF($C$22:$C$50,"Overhead",J22:J50)</f>
        <v>0</v>
      </c>
      <c r="K59" s="28" t="n">
        <f aca="false">SUMIF($C$22:$C$50,"Overhead",K22:K50)</f>
        <v>0</v>
      </c>
      <c r="L59" s="93" t="n">
        <f aca="false">SUMIF($C$22:$C$50,"Overhead",L22:L50)</f>
        <v>0</v>
      </c>
      <c r="M59" s="28" t="n">
        <f aca="false">SUMIF($C$22:$C$50,"Overhead",M22:M50)</f>
        <v>0</v>
      </c>
      <c r="N59" s="28" t="n">
        <f aca="false">SUMIF($C$22:$C$50,"Overhead",N22:N50)</f>
        <v>0</v>
      </c>
      <c r="O59" s="28" t="n">
        <f aca="false">SUMIF($C$22:$C$50,"Overhead",O22:O50)</f>
        <v>0</v>
      </c>
      <c r="P59" s="93" t="n">
        <f aca="false">SUMIF($C$22:$C$50,"Overhead",P22:P50)</f>
        <v>0</v>
      </c>
      <c r="Q59" s="28" t="n">
        <f aca="false">SUMIF($C$22:$C$50,"Overhead",Q22:Q50)</f>
        <v>0</v>
      </c>
      <c r="R59" s="28" t="n">
        <f aca="false">SUMIF($C$22:$C$50,"Overhead",R22:R50)</f>
        <v>0</v>
      </c>
      <c r="S59" s="28" t="n">
        <f aca="false">SUMIF($C$22:$C$50,"Overhead",S22:S50)</f>
        <v>0</v>
      </c>
      <c r="T59" s="93" t="n">
        <f aca="false">SUMIF($C$22:$C$50,"Overhead",T22:T50)</f>
        <v>0</v>
      </c>
      <c r="U59" s="28" t="n">
        <f aca="false">SUMIF($C$22:$C$50,"Overhead",U22:U50)</f>
        <v>0</v>
      </c>
      <c r="V59" s="94" t="n">
        <f aca="false">IF(D59=0,0,U59/D59)</f>
        <v>0</v>
      </c>
    </row>
    <row r="60" customFormat="false" ht="15" hidden="false" customHeight="true" outlineLevel="0" collapsed="false">
      <c r="C60" s="27" t="s">
        <v>76</v>
      </c>
      <c r="D60" s="28" t="n">
        <f aca="false">SUMIF(C22:C50,"Grantmaking",D22:D50)</f>
        <v>50000</v>
      </c>
      <c r="E60" s="28" t="n">
        <f aca="false">SUMIF($C$22:$C$50,"Grantmaking",E22:E50)</f>
        <v>0</v>
      </c>
      <c r="F60" s="28" t="n">
        <f aca="false">SUMIF($C$22:$C$50,"Grantmaking",F22:F50)</f>
        <v>0</v>
      </c>
      <c r="G60" s="28" t="n">
        <f aca="false">SUMIF($C$22:$C$50,"Grantmaking",G22:G50)</f>
        <v>0</v>
      </c>
      <c r="H60" s="93" t="n">
        <f aca="false">SUMIF($C$22:$C$50,"Grantmaking",H22:H50)</f>
        <v>0</v>
      </c>
      <c r="I60" s="28" t="n">
        <f aca="false">SUMIF($C$22:$C$50,"Grantmaking",I22:I50)</f>
        <v>0</v>
      </c>
      <c r="J60" s="28" t="n">
        <f aca="false">SUMIF($C$22:$C$50,"Grantmaking",J22:J50)</f>
        <v>0</v>
      </c>
      <c r="K60" s="28" t="n">
        <f aca="false">SUMIF($C$22:$C$50,"Grantmaking",K22:K50)</f>
        <v>0</v>
      </c>
      <c r="L60" s="93" t="n">
        <f aca="false">SUMIF($C$22:$C$50,"Grantmaking",L22:L50)</f>
        <v>0</v>
      </c>
      <c r="M60" s="28" t="n">
        <f aca="false">SUMIF($C$22:$C$50,"Grantmaking",M22:M50)</f>
        <v>0</v>
      </c>
      <c r="N60" s="28" t="n">
        <f aca="false">SUMIF($C$22:$C$50,"Grantmaking",N22:N50)</f>
        <v>0</v>
      </c>
      <c r="O60" s="28" t="n">
        <f aca="false">SUMIF($C$22:$C$50,"Grantmaking",O22:O50)</f>
        <v>0</v>
      </c>
      <c r="P60" s="93" t="n">
        <f aca="false">SUMIF($C$22:$C$50,"Grantmaking",P22:P50)</f>
        <v>0</v>
      </c>
      <c r="Q60" s="28" t="n">
        <f aca="false">SUMIF($C$22:$C$50,"Grantmaking",Q22:Q50)</f>
        <v>0</v>
      </c>
      <c r="R60" s="28" t="n">
        <f aca="false">SUMIF($C$22:$C$50,"Grantmaking",R22:R50)</f>
        <v>0</v>
      </c>
      <c r="S60" s="28" t="n">
        <f aca="false">SUMIF($C$22:$C$50,"Grantmaking",S22:S50)</f>
        <v>0</v>
      </c>
      <c r="T60" s="93" t="n">
        <f aca="false">SUMIF($C$22:$C$50,"Grantmaking",T22:T50)</f>
        <v>0</v>
      </c>
      <c r="U60" s="28" t="n">
        <f aca="false">SUMIF($C$22:$C$50,"Grantmaking",U22:U50)</f>
        <v>0</v>
      </c>
      <c r="V60" s="94" t="n">
        <f aca="false">IF(D60=0,0,U60/D60)</f>
        <v>0</v>
      </c>
    </row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</sheetData>
  <mergeCells count="4">
    <mergeCell ref="A1:V1"/>
    <mergeCell ref="A5:V5"/>
    <mergeCell ref="A21:V21"/>
    <mergeCell ref="A56:V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2"/>
    <col collapsed="false" customWidth="true" hidden="false" outlineLevel="0" max="9" min="8" style="1" width="13.29"/>
    <col collapsed="false" customWidth="true" hidden="false" outlineLevel="0" max="10" min="10" style="1" width="12.57"/>
    <col collapsed="false" customWidth="true" hidden="false" outlineLevel="0" max="11" min="11" style="1" width="13.29"/>
    <col collapsed="false" customWidth="true" hidden="false" outlineLevel="0" max="15" min="12" style="1" width="12"/>
    <col collapsed="false" customWidth="true" hidden="false" outlineLevel="0" max="26" min="16" style="1" width="8.71"/>
  </cols>
  <sheetData>
    <row r="1" customFormat="false" ht="19.5" hidden="false" customHeight="true" outlineLevel="0" collapsed="false">
      <c r="A1" s="95" t="s">
        <v>163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</row>
    <row r="2" customFormat="false" ht="15" hidden="false" customHeight="true" outlineLevel="0" collapsed="false">
      <c r="A2" s="27" t="s">
        <v>164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customFormat="false" ht="15" hidden="false" customHeight="true" outlineLevel="0" collapsed="false"/>
    <row r="4" customFormat="false" ht="15" hidden="false" customHeight="true" outlineLevel="0" collapsed="false">
      <c r="A4" s="36" t="s">
        <v>165</v>
      </c>
      <c r="B4" s="36" t="s">
        <v>166</v>
      </c>
      <c r="C4" s="36" t="s">
        <v>167</v>
      </c>
      <c r="D4" s="36" t="s">
        <v>168</v>
      </c>
      <c r="E4" s="36" t="s">
        <v>169</v>
      </c>
      <c r="F4" s="36" t="s">
        <v>170</v>
      </c>
      <c r="G4" s="36" t="s">
        <v>108</v>
      </c>
      <c r="H4" s="36" t="s">
        <v>171</v>
      </c>
      <c r="I4" s="36" t="s">
        <v>109</v>
      </c>
      <c r="J4" s="36" t="s">
        <v>172</v>
      </c>
      <c r="K4" s="36" t="s">
        <v>111</v>
      </c>
      <c r="L4" s="36" t="s">
        <v>173</v>
      </c>
      <c r="M4" s="36" t="s">
        <v>174</v>
      </c>
      <c r="N4" s="36" t="s">
        <v>175</v>
      </c>
      <c r="O4" s="36" t="s">
        <v>176</v>
      </c>
    </row>
    <row r="5" customFormat="false" ht="15" hidden="false" customHeight="true" outlineLevel="0" collapsed="false">
      <c r="A5" s="1" t="s">
        <v>11</v>
      </c>
      <c r="B5" s="96" t="n">
        <v>74317</v>
      </c>
      <c r="C5" s="96" t="n">
        <v>82970</v>
      </c>
      <c r="D5" s="96" t="n">
        <v>120435</v>
      </c>
      <c r="E5" s="96" t="n">
        <v>96823</v>
      </c>
      <c r="F5" s="97" t="n">
        <v>134136</v>
      </c>
      <c r="G5" s="97" t="n">
        <v>362109</v>
      </c>
      <c r="H5" s="98" t="n">
        <f aca="false">IF(F5=0,0,G5/F5)</f>
        <v>2.69956611200573</v>
      </c>
      <c r="I5" s="99" t="n">
        <v>375000</v>
      </c>
      <c r="J5" s="99" t="n">
        <v>0</v>
      </c>
      <c r="K5" s="100" t="n">
        <f aca="false">IF(I5=0,0,J5/I5)</f>
        <v>0</v>
      </c>
      <c r="L5" s="101"/>
      <c r="M5" s="101"/>
      <c r="N5" s="101"/>
      <c r="O5" s="101"/>
    </row>
    <row r="6" customFormat="false" ht="15" hidden="false" customHeight="true" outlineLevel="0" collapsed="false">
      <c r="A6" s="1" t="s">
        <v>17</v>
      </c>
      <c r="B6" s="96" t="n">
        <v>963</v>
      </c>
      <c r="C6" s="96" t="n">
        <v>1443</v>
      </c>
      <c r="D6" s="96" t="n">
        <v>0</v>
      </c>
      <c r="E6" s="96" t="n">
        <v>0</v>
      </c>
      <c r="F6" s="97" t="n">
        <v>1500</v>
      </c>
      <c r="G6" s="97" t="n">
        <v>1100</v>
      </c>
      <c r="H6" s="98" t="n">
        <f aca="false">IF(F6=0,0,G6/F6)</f>
        <v>0.733333333333333</v>
      </c>
      <c r="I6" s="99" t="n">
        <v>2000</v>
      </c>
      <c r="J6" s="99" t="n">
        <v>0</v>
      </c>
      <c r="K6" s="100" t="n">
        <f aca="false">IF(I6=0,0,J6/I6)</f>
        <v>0</v>
      </c>
      <c r="L6" s="101"/>
      <c r="M6" s="101"/>
      <c r="N6" s="101"/>
      <c r="O6" s="101"/>
    </row>
    <row r="7" customFormat="false" ht="15" hidden="false" customHeight="true" outlineLevel="0" collapsed="false">
      <c r="A7" s="1" t="s">
        <v>19</v>
      </c>
      <c r="B7" s="96" t="n">
        <v>0</v>
      </c>
      <c r="C7" s="96" t="n">
        <v>0</v>
      </c>
      <c r="D7" s="96" t="n">
        <v>0</v>
      </c>
      <c r="E7" s="96" t="n">
        <v>0</v>
      </c>
      <c r="F7" s="97" t="n">
        <v>25000</v>
      </c>
      <c r="G7" s="97" t="n">
        <v>9323</v>
      </c>
      <c r="H7" s="98" t="n">
        <f aca="false">IF(F7=0,0,G7/F7)</f>
        <v>0.37292</v>
      </c>
      <c r="I7" s="99" t="n">
        <v>20000</v>
      </c>
      <c r="J7" s="99" t="n">
        <v>0</v>
      </c>
      <c r="K7" s="100" t="n">
        <f aca="false">IF(I7=0,0,J7/I7)</f>
        <v>0</v>
      </c>
      <c r="L7" s="101"/>
      <c r="M7" s="101"/>
      <c r="N7" s="101"/>
      <c r="O7" s="101"/>
    </row>
    <row r="8" customFormat="false" ht="15" hidden="false" customHeight="true" outlineLevel="0" collapsed="false">
      <c r="A8" s="1" t="s">
        <v>21</v>
      </c>
      <c r="B8" s="96" t="n">
        <v>0</v>
      </c>
      <c r="C8" s="96" t="n">
        <v>0</v>
      </c>
      <c r="D8" s="96" t="n">
        <v>0</v>
      </c>
      <c r="E8" s="96" t="n">
        <v>0</v>
      </c>
      <c r="F8" s="97" t="n">
        <v>0</v>
      </c>
      <c r="G8" s="97" t="n">
        <v>0</v>
      </c>
      <c r="H8" s="98" t="n">
        <f aca="false">IF(F8=0,0,G8/F8)</f>
        <v>0</v>
      </c>
      <c r="I8" s="99" t="n">
        <v>0</v>
      </c>
      <c r="J8" s="99" t="n">
        <v>0</v>
      </c>
      <c r="K8" s="100" t="n">
        <f aca="false">IF(I8=0,0,J8/I8)</f>
        <v>0</v>
      </c>
      <c r="L8" s="101"/>
      <c r="M8" s="101"/>
      <c r="N8" s="101"/>
      <c r="O8" s="101"/>
    </row>
    <row r="9" customFormat="false" ht="15" hidden="false" customHeight="true" outlineLevel="0" collapsed="false">
      <c r="A9" s="1" t="s">
        <v>23</v>
      </c>
      <c r="B9" s="96" t="n">
        <v>0</v>
      </c>
      <c r="C9" s="96" t="n">
        <v>0</v>
      </c>
      <c r="D9" s="96" t="n">
        <v>0</v>
      </c>
      <c r="E9" s="96" t="n">
        <v>0</v>
      </c>
      <c r="F9" s="97" t="n">
        <v>50000</v>
      </c>
      <c r="G9" s="97" t="n">
        <v>94011</v>
      </c>
      <c r="H9" s="98" t="n">
        <f aca="false">IF(F9=0,0,G9/F9)</f>
        <v>1.88022</v>
      </c>
      <c r="I9" s="99" t="n">
        <v>100000</v>
      </c>
      <c r="J9" s="99" t="n">
        <v>0</v>
      </c>
      <c r="K9" s="100" t="n">
        <f aca="false">IF(I9=0,0,J9/I9)</f>
        <v>0</v>
      </c>
      <c r="L9" s="101"/>
      <c r="M9" s="101"/>
      <c r="N9" s="101"/>
      <c r="O9" s="101"/>
    </row>
    <row r="10" customFormat="false" ht="15" hidden="false" customHeight="true" outlineLevel="0" collapsed="false">
      <c r="A10" s="1" t="s">
        <v>25</v>
      </c>
      <c r="B10" s="96" t="n">
        <v>0</v>
      </c>
      <c r="C10" s="96" t="n">
        <v>0</v>
      </c>
      <c r="D10" s="96" t="n">
        <v>0</v>
      </c>
      <c r="E10" s="96" t="n">
        <v>0</v>
      </c>
      <c r="F10" s="97" t="n">
        <v>0</v>
      </c>
      <c r="G10" s="97" t="n">
        <v>6513</v>
      </c>
      <c r="H10" s="98" t="n">
        <f aca="false">IF(F10=0,0,G10/F10)</f>
        <v>0</v>
      </c>
      <c r="I10" s="99" t="n">
        <v>10000</v>
      </c>
      <c r="J10" s="99" t="n">
        <v>0</v>
      </c>
      <c r="K10" s="100" t="n">
        <f aca="false">IF(I10=0,0,J10/I10)</f>
        <v>0</v>
      </c>
      <c r="L10" s="101"/>
      <c r="M10" s="101"/>
      <c r="N10" s="101"/>
      <c r="O10" s="101"/>
    </row>
    <row r="11" customFormat="false" ht="15" hidden="false" customHeight="true" outlineLevel="0" collapsed="false">
      <c r="A11" s="1" t="s">
        <v>113</v>
      </c>
      <c r="B11" s="96" t="n">
        <v>0</v>
      </c>
      <c r="C11" s="96" t="n">
        <v>0</v>
      </c>
      <c r="D11" s="96" t="n">
        <v>0</v>
      </c>
      <c r="E11" s="96" t="n">
        <v>0</v>
      </c>
      <c r="F11" s="97" t="n">
        <v>0</v>
      </c>
      <c r="G11" s="97" t="n">
        <v>1278</v>
      </c>
      <c r="H11" s="98" t="n">
        <f aca="false">IF(F11=0,0,G11/F11)</f>
        <v>0</v>
      </c>
      <c r="I11" s="99" t="n">
        <v>0</v>
      </c>
      <c r="J11" s="99" t="n">
        <v>0</v>
      </c>
      <c r="K11" s="100" t="n">
        <f aca="false">IF(I11=0,0,J11/I11)</f>
        <v>0</v>
      </c>
      <c r="L11" s="101"/>
      <c r="M11" s="101"/>
      <c r="N11" s="101"/>
      <c r="O11" s="101"/>
    </row>
    <row r="12" customFormat="false" ht="15" hidden="false" customHeight="true" outlineLevel="0" collapsed="false">
      <c r="A12" s="49" t="s">
        <v>32</v>
      </c>
      <c r="B12" s="102" t="n">
        <f aca="false">SUM(B5:B11)</f>
        <v>75280</v>
      </c>
      <c r="C12" s="102" t="n">
        <f aca="false">SUM(C5:C11)</f>
        <v>84413</v>
      </c>
      <c r="D12" s="102" t="n">
        <f aca="false">SUM(D5:D11)</f>
        <v>120435</v>
      </c>
      <c r="E12" s="102" t="n">
        <f aca="false">SUM(E5:E11)</f>
        <v>96823</v>
      </c>
      <c r="F12" s="102" t="n">
        <f aca="false">SUM(F5:F11)</f>
        <v>210636</v>
      </c>
      <c r="G12" s="102" t="n">
        <f aca="false">SUM(G5:G11)</f>
        <v>474334</v>
      </c>
      <c r="H12" s="103" t="n">
        <f aca="false">IF(F12=0,0,G12/F12)</f>
        <v>2.25191325319509</v>
      </c>
      <c r="I12" s="102" t="n">
        <f aca="false">SUM(I5:I11)</f>
        <v>507000</v>
      </c>
      <c r="J12" s="102" t="n">
        <f aca="false">SUM(J5:J11)</f>
        <v>0</v>
      </c>
      <c r="K12" s="103" t="n">
        <f aca="false">IF(I12=0,0,J12/I12)</f>
        <v>0</v>
      </c>
      <c r="L12" s="102"/>
      <c r="M12" s="102"/>
      <c r="N12" s="102"/>
      <c r="O12" s="102"/>
    </row>
    <row r="13" customFormat="false" ht="15" hidden="false" customHeight="true" outlineLevel="0" collapsed="false">
      <c r="B13" s="101"/>
      <c r="C13" s="10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</row>
    <row r="14" customFormat="false" ht="15" hidden="false" customHeight="true" outlineLevel="0" collapsed="false">
      <c r="A14" s="1" t="s">
        <v>177</v>
      </c>
      <c r="B14" s="96" t="n">
        <v>79973</v>
      </c>
      <c r="C14" s="96" t="n">
        <v>55570</v>
      </c>
      <c r="D14" s="96" t="n">
        <v>57000</v>
      </c>
      <c r="E14" s="96" t="n">
        <v>79800</v>
      </c>
      <c r="F14" s="97" t="n">
        <v>75000</v>
      </c>
      <c r="G14" s="97" t="n">
        <v>31603</v>
      </c>
      <c r="H14" s="98" t="n">
        <f aca="false">IF(F14=0,0,G14/F14)</f>
        <v>0.421373333333333</v>
      </c>
      <c r="I14" s="99" t="n">
        <v>50000</v>
      </c>
      <c r="J14" s="99" t="n">
        <v>0</v>
      </c>
      <c r="K14" s="100" t="n">
        <f aca="false">IF(I14=0,0,J14/I14)</f>
        <v>0</v>
      </c>
      <c r="L14" s="101"/>
      <c r="M14" s="101"/>
      <c r="N14" s="101"/>
      <c r="O14" s="101"/>
    </row>
    <row r="15" customFormat="false" ht="15" hidden="false" customHeight="true" outlineLevel="0" collapsed="false">
      <c r="A15" s="1" t="s">
        <v>178</v>
      </c>
      <c r="B15" s="96" t="n">
        <v>21341</v>
      </c>
      <c r="C15" s="96" t="n">
        <v>31773</v>
      </c>
      <c r="D15" s="96" t="n">
        <v>19862</v>
      </c>
      <c r="E15" s="96" t="n">
        <v>33964</v>
      </c>
      <c r="F15" s="97" t="n">
        <v>57000</v>
      </c>
      <c r="G15" s="97" t="n">
        <v>0</v>
      </c>
      <c r="H15" s="98" t="n">
        <f aca="false">IF(F15=0,0,G15/F15)</f>
        <v>0</v>
      </c>
      <c r="I15" s="99" t="n">
        <v>185533</v>
      </c>
      <c r="J15" s="99" t="n">
        <v>0</v>
      </c>
      <c r="K15" s="100" t="n">
        <f aca="false">IF(I15=0,0,J15/I15)</f>
        <v>0</v>
      </c>
      <c r="L15" s="101"/>
      <c r="M15" s="101"/>
      <c r="N15" s="101"/>
      <c r="O15" s="101"/>
    </row>
    <row r="16" customFormat="false" ht="15" hidden="false" customHeight="true" outlineLevel="0" collapsed="false">
      <c r="A16" s="1" t="s">
        <v>179</v>
      </c>
      <c r="B16" s="96" t="n">
        <v>0</v>
      </c>
      <c r="C16" s="96" t="n">
        <v>0</v>
      </c>
      <c r="D16" s="96" t="n">
        <v>0</v>
      </c>
      <c r="E16" s="96" t="n">
        <v>114416</v>
      </c>
      <c r="F16" s="97" t="n">
        <v>146250</v>
      </c>
      <c r="G16" s="97" t="n">
        <v>0</v>
      </c>
      <c r="H16" s="98" t="n">
        <f aca="false">IF(F16=0,0,G16/F16)</f>
        <v>0</v>
      </c>
      <c r="I16" s="99" t="n">
        <v>173269</v>
      </c>
      <c r="J16" s="99" t="n">
        <v>0</v>
      </c>
      <c r="K16" s="100" t="n">
        <f aca="false">IF(I16=0,0,J16/I16)</f>
        <v>0</v>
      </c>
      <c r="L16" s="101"/>
      <c r="M16" s="101"/>
      <c r="N16" s="101"/>
      <c r="O16" s="101"/>
    </row>
    <row r="17" customFormat="false" ht="15" hidden="false" customHeight="true" outlineLevel="0" collapsed="false">
      <c r="A17" s="1" t="s">
        <v>180</v>
      </c>
      <c r="B17" s="96" t="n">
        <v>132345</v>
      </c>
      <c r="C17" s="96" t="n">
        <v>196162</v>
      </c>
      <c r="D17" s="96" t="n">
        <v>262979</v>
      </c>
      <c r="E17" s="96" t="n">
        <v>142126</v>
      </c>
      <c r="F17" s="97" t="n">
        <v>178750</v>
      </c>
      <c r="G17" s="97" t="n">
        <v>0</v>
      </c>
      <c r="H17" s="98" t="n">
        <f aca="false">IF(F17=0,0,G17/F17)</f>
        <v>0</v>
      </c>
      <c r="I17" s="99" t="n">
        <v>70045</v>
      </c>
      <c r="J17" s="99" t="n">
        <v>0</v>
      </c>
      <c r="K17" s="100" t="n">
        <f aca="false">IF(I17=0,0,J17/I17)</f>
        <v>0</v>
      </c>
      <c r="L17" s="101"/>
      <c r="M17" s="101"/>
      <c r="N17" s="101"/>
      <c r="O17" s="101"/>
    </row>
    <row r="18" customFormat="false" ht="15" hidden="false" customHeight="true" outlineLevel="0" collapsed="false">
      <c r="A18" s="64" t="s">
        <v>97</v>
      </c>
      <c r="B18" s="104" t="n">
        <f aca="false">SUM(B14:B17)</f>
        <v>233659</v>
      </c>
      <c r="C18" s="104" t="n">
        <f aca="false">SUM(C14:C17)</f>
        <v>283505</v>
      </c>
      <c r="D18" s="104" t="n">
        <f aca="false">SUM(D14:D17)</f>
        <v>339841</v>
      </c>
      <c r="E18" s="104" t="n">
        <f aca="false">SUM(E14:E17)</f>
        <v>370306</v>
      </c>
      <c r="F18" s="104" t="n">
        <f aca="false">SUM(F14:F17)</f>
        <v>457000</v>
      </c>
      <c r="G18" s="104" t="n">
        <f aca="false">SUM(G14:G17)</f>
        <v>31603</v>
      </c>
      <c r="H18" s="105" t="n">
        <f aca="false">IF(F18=0,0,G18/F18)</f>
        <v>0.0691531728665208</v>
      </c>
      <c r="I18" s="104" t="n">
        <f aca="false">SUM(I14:I17)</f>
        <v>478847</v>
      </c>
      <c r="J18" s="104" t="n">
        <f aca="false">SUM(J14:J17)</f>
        <v>0</v>
      </c>
      <c r="K18" s="105" t="n">
        <f aca="false">IF(I18=0,0,J18/I18)</f>
        <v>0</v>
      </c>
      <c r="L18" s="104"/>
      <c r="M18" s="104"/>
      <c r="N18" s="104"/>
      <c r="O18" s="104"/>
    </row>
    <row r="19" customFormat="false" ht="15" hidden="false" customHeight="true" outlineLevel="0" collapsed="false">
      <c r="B19" s="101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</row>
    <row r="20" customFormat="false" ht="15" hidden="false" customHeight="true" outlineLevel="0" collapsed="false">
      <c r="A20" s="106" t="s">
        <v>101</v>
      </c>
      <c r="B20" s="107" t="n">
        <f aca="false">B12-B18</f>
        <v>-158379</v>
      </c>
      <c r="C20" s="107" t="n">
        <f aca="false">C12-C18</f>
        <v>-199092</v>
      </c>
      <c r="D20" s="107" t="n">
        <f aca="false">D12-D18</f>
        <v>-219406</v>
      </c>
      <c r="E20" s="107" t="n">
        <f aca="false">E12-E18</f>
        <v>-273483</v>
      </c>
      <c r="F20" s="107" t="n">
        <f aca="false">F12-F18</f>
        <v>-246364</v>
      </c>
      <c r="G20" s="107" t="n">
        <f aca="false">G12-G18</f>
        <v>442731</v>
      </c>
      <c r="H20" s="107" t="n">
        <f aca="false">H12-H18</f>
        <v>2.18276008032856</v>
      </c>
      <c r="I20" s="107" t="n">
        <f aca="false">I12-I18</f>
        <v>28153</v>
      </c>
      <c r="J20" s="107" t="n">
        <f aca="false">J12-J18</f>
        <v>0</v>
      </c>
      <c r="K20" s="107" t="n">
        <f aca="false">K12-K18</f>
        <v>0</v>
      </c>
      <c r="L20" s="108"/>
      <c r="M20" s="108"/>
      <c r="N20" s="108"/>
      <c r="O20" s="108"/>
    </row>
    <row r="21" customFormat="false" ht="15" hidden="false" customHeight="true" outlineLevel="0" collapsed="false">
      <c r="A21" s="109"/>
      <c r="B21" s="101"/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1"/>
      <c r="N21" s="101"/>
      <c r="O21" s="101"/>
    </row>
    <row r="22" customFormat="false" ht="15.75" hidden="false" customHeight="true" outlineLevel="0" collapsed="false">
      <c r="A22" s="47" t="s">
        <v>181</v>
      </c>
      <c r="B22" s="110" t="n">
        <v>45</v>
      </c>
      <c r="C22" s="110" t="n">
        <v>68</v>
      </c>
      <c r="D22" s="110" t="n">
        <v>84</v>
      </c>
      <c r="E22" s="110" t="n">
        <v>104</v>
      </c>
      <c r="F22" s="111" t="n">
        <v>104</v>
      </c>
      <c r="G22" s="111" t="n">
        <v>146</v>
      </c>
      <c r="H22" s="97"/>
      <c r="I22" s="112" t="n">
        <v>330</v>
      </c>
      <c r="J22" s="112" t="n">
        <v>0</v>
      </c>
      <c r="K22" s="99"/>
      <c r="L22" s="101"/>
      <c r="M22" s="101"/>
      <c r="N22" s="101"/>
      <c r="O22" s="101"/>
    </row>
    <row r="23" customFormat="false" ht="15.75" hidden="false" customHeight="true" outlineLevel="0" collapsed="false">
      <c r="A23" s="47" t="s">
        <v>182</v>
      </c>
      <c r="B23" s="113" t="n">
        <v>45</v>
      </c>
      <c r="C23" s="113" t="n">
        <v>68</v>
      </c>
      <c r="D23" s="113" t="n">
        <v>84</v>
      </c>
      <c r="E23" s="113" t="n">
        <v>104</v>
      </c>
      <c r="F23" s="114" t="n">
        <v>134</v>
      </c>
      <c r="G23" s="114" t="n">
        <v>98</v>
      </c>
      <c r="H23" s="104"/>
      <c r="I23" s="115" t="n">
        <v>162</v>
      </c>
      <c r="J23" s="115" t="n">
        <v>0</v>
      </c>
      <c r="K23" s="102"/>
      <c r="L23" s="116"/>
      <c r="M23" s="116"/>
      <c r="N23" s="116"/>
      <c r="O23" s="116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 customFormat="false" ht="15.75" hidden="false" customHeight="true" outlineLevel="0" collapsed="false">
      <c r="A24" s="47" t="s">
        <v>183</v>
      </c>
      <c r="B24" s="96" t="n">
        <v>500</v>
      </c>
      <c r="C24" s="96" t="n">
        <v>800</v>
      </c>
      <c r="D24" s="96" t="n">
        <v>1000</v>
      </c>
      <c r="E24" s="96" t="n">
        <v>1215</v>
      </c>
      <c r="F24" s="97" t="n">
        <v>1000</v>
      </c>
      <c r="G24" s="97" t="n">
        <v>1364</v>
      </c>
      <c r="H24" s="97"/>
      <c r="I24" s="99" t="n">
        <v>1279</v>
      </c>
      <c r="J24" s="99" t="n">
        <v>0</v>
      </c>
      <c r="K24" s="99"/>
      <c r="L24" s="101"/>
      <c r="M24" s="101"/>
      <c r="N24" s="101"/>
      <c r="O24" s="101"/>
    </row>
    <row r="25" customFormat="false" ht="15.75" hidden="false" customHeight="true" outlineLevel="0" collapsed="false">
      <c r="A25" s="47" t="s">
        <v>184</v>
      </c>
      <c r="B25" s="117" t="n">
        <v>100</v>
      </c>
      <c r="C25" s="117" t="n">
        <v>100</v>
      </c>
      <c r="D25" s="117" t="n">
        <v>100</v>
      </c>
      <c r="E25" s="117" t="n">
        <v>100</v>
      </c>
      <c r="F25" s="98" t="n">
        <v>60</v>
      </c>
      <c r="G25" s="98" t="n">
        <v>67</v>
      </c>
      <c r="H25" s="97"/>
      <c r="I25" s="100" t="n">
        <v>60</v>
      </c>
      <c r="J25" s="100" t="n">
        <v>0</v>
      </c>
      <c r="K25" s="99"/>
      <c r="L25" s="101"/>
      <c r="M25" s="101"/>
      <c r="N25" s="101"/>
      <c r="O25" s="101"/>
    </row>
    <row r="26" customFormat="false" ht="15.75" hidden="false" customHeight="true" outlineLevel="0" collapsed="false">
      <c r="A26" s="47" t="s">
        <v>185</v>
      </c>
      <c r="B26" s="117" t="n">
        <v>0</v>
      </c>
      <c r="C26" s="117" t="n">
        <v>51</v>
      </c>
      <c r="D26" s="117" t="n">
        <v>24</v>
      </c>
      <c r="E26" s="117" t="n">
        <v>24</v>
      </c>
      <c r="F26" s="98" t="n">
        <v>8</v>
      </c>
      <c r="G26" s="98" t="n">
        <v>41</v>
      </c>
      <c r="H26" s="97"/>
      <c r="I26" s="100" t="n">
        <v>22</v>
      </c>
      <c r="J26" s="100" t="n">
        <v>0</v>
      </c>
      <c r="K26" s="99"/>
      <c r="L26" s="101"/>
      <c r="M26" s="101"/>
      <c r="N26" s="101"/>
      <c r="O26" s="101"/>
    </row>
    <row r="27" customFormat="false" ht="15.75" hidden="false" customHeight="true" outlineLevel="0" collapsed="false">
      <c r="A27" s="7"/>
      <c r="B27" s="118"/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118"/>
      <c r="N27" s="118"/>
      <c r="O27" s="118"/>
    </row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7" min="2" style="1" width="14"/>
  </cols>
  <sheetData>
    <row r="1" customFormat="false" ht="19.5" hidden="false" customHeight="true" outlineLevel="0" collapsed="false">
      <c r="A1" s="95" t="s">
        <v>186</v>
      </c>
      <c r="B1" s="95"/>
      <c r="C1" s="95"/>
      <c r="D1" s="95"/>
      <c r="E1" s="95"/>
      <c r="F1" s="95"/>
      <c r="G1" s="95"/>
      <c r="H1" s="95"/>
      <c r="I1" s="95"/>
      <c r="J1" s="95"/>
      <c r="K1" s="95"/>
    </row>
    <row r="2" customFormat="false" ht="15" hidden="false" customHeight="true" outlineLevel="0" collapsed="false">
      <c r="A2" s="119" t="s">
        <v>187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</row>
    <row r="4" customFormat="false" ht="15" hidden="false" customHeight="true" outlineLevel="0" collapsed="false">
      <c r="A4" s="120" t="s">
        <v>188</v>
      </c>
      <c r="B4" s="86"/>
      <c r="C4" s="86"/>
      <c r="D4" s="86"/>
      <c r="E4" s="86"/>
      <c r="F4" s="86"/>
      <c r="G4" s="86"/>
      <c r="H4" s="86"/>
      <c r="I4" s="86"/>
      <c r="J4" s="86"/>
      <c r="K4" s="86"/>
    </row>
    <row r="5" customFormat="false" ht="15" hidden="false" customHeight="true" outlineLevel="0" collapsed="false">
      <c r="A5" s="36" t="s">
        <v>189</v>
      </c>
      <c r="B5" s="36" t="s">
        <v>190</v>
      </c>
      <c r="C5" s="36" t="s">
        <v>191</v>
      </c>
      <c r="D5" s="36" t="s">
        <v>192</v>
      </c>
      <c r="E5" s="36" t="s">
        <v>193</v>
      </c>
      <c r="F5" s="36" t="s">
        <v>194</v>
      </c>
      <c r="G5" s="36" t="s">
        <v>195</v>
      </c>
    </row>
    <row r="6" customFormat="false" ht="15" hidden="false" customHeight="true" outlineLevel="0" collapsed="false">
      <c r="A6" s="121" t="s">
        <v>196</v>
      </c>
    </row>
    <row r="7" customFormat="false" ht="15" hidden="false" customHeight="true" outlineLevel="0" collapsed="false">
      <c r="A7" s="1" t="s">
        <v>197</v>
      </c>
      <c r="B7" s="122" t="s">
        <v>198</v>
      </c>
      <c r="C7" s="123" t="n">
        <v>0.1</v>
      </c>
      <c r="D7" s="123" t="n">
        <v>0.15</v>
      </c>
      <c r="E7" s="123" t="n">
        <v>0.15</v>
      </c>
      <c r="F7" s="123" t="n">
        <v>0.15</v>
      </c>
      <c r="G7" s="42" t="s">
        <v>199</v>
      </c>
    </row>
    <row r="8" customFormat="false" ht="15" hidden="false" customHeight="true" outlineLevel="0" collapsed="false">
      <c r="A8" s="1" t="s">
        <v>200</v>
      </c>
      <c r="B8" s="124" t="n">
        <v>0</v>
      </c>
      <c r="C8" s="125" t="n">
        <v>45000</v>
      </c>
      <c r="D8" s="125" t="n">
        <v>45000</v>
      </c>
      <c r="E8" s="125" t="n">
        <v>45000</v>
      </c>
      <c r="F8" s="125" t="n">
        <v>45000</v>
      </c>
      <c r="G8" s="42" t="s">
        <v>201</v>
      </c>
    </row>
    <row r="9" customFormat="false" ht="15" hidden="false" customHeight="true" outlineLevel="0" collapsed="false">
      <c r="A9" s="1" t="s">
        <v>202</v>
      </c>
      <c r="B9" s="124" t="n">
        <v>0</v>
      </c>
      <c r="C9" s="125" t="n">
        <v>100000</v>
      </c>
      <c r="D9" s="125" t="n">
        <v>50000</v>
      </c>
      <c r="E9" s="125" t="n">
        <v>50000</v>
      </c>
      <c r="F9" s="125" t="n">
        <v>50000</v>
      </c>
      <c r="G9" s="42" t="s">
        <v>203</v>
      </c>
    </row>
    <row r="10" customFormat="false" ht="15" hidden="false" customHeight="true" outlineLevel="0" collapsed="false">
      <c r="A10" s="1" t="s">
        <v>204</v>
      </c>
      <c r="B10" s="122" t="s">
        <v>198</v>
      </c>
      <c r="C10" s="123" t="n">
        <v>0.5</v>
      </c>
      <c r="D10" s="123" t="n">
        <v>0.25</v>
      </c>
      <c r="E10" s="123" t="n">
        <v>0.2</v>
      </c>
      <c r="F10" s="123" t="n">
        <v>0.15</v>
      </c>
      <c r="G10" s="42" t="s">
        <v>199</v>
      </c>
    </row>
    <row r="11" customFormat="false" ht="15" hidden="false" customHeight="true" outlineLevel="0" collapsed="false">
      <c r="A11" s="1" t="s">
        <v>205</v>
      </c>
      <c r="B11" s="122" t="s">
        <v>198</v>
      </c>
      <c r="C11" s="123" t="n">
        <v>0.1</v>
      </c>
      <c r="D11" s="123" t="n">
        <v>0.1</v>
      </c>
      <c r="E11" s="123" t="n">
        <v>0.1</v>
      </c>
      <c r="F11" s="123" t="n">
        <v>0.1</v>
      </c>
      <c r="G11" s="42" t="s">
        <v>199</v>
      </c>
    </row>
    <row r="12" customFormat="false" ht="15" hidden="false" customHeight="true" outlineLevel="0" collapsed="false">
      <c r="A12" s="1" t="s">
        <v>206</v>
      </c>
      <c r="B12" s="122" t="s">
        <v>198</v>
      </c>
      <c r="C12" s="123" t="n">
        <v>0.2</v>
      </c>
      <c r="D12" s="123" t="n">
        <v>0.15</v>
      </c>
      <c r="E12" s="123" t="n">
        <v>0.15</v>
      </c>
      <c r="F12" s="123" t="n">
        <v>0.1</v>
      </c>
      <c r="G12" s="42" t="s">
        <v>199</v>
      </c>
    </row>
    <row r="13" customFormat="false" ht="15" hidden="false" customHeight="true" outlineLevel="0" collapsed="false"/>
    <row r="14" customFormat="false" ht="15" hidden="false" customHeight="true" outlineLevel="0" collapsed="false">
      <c r="A14" s="121" t="s">
        <v>207</v>
      </c>
    </row>
    <row r="15" customFormat="false" ht="15" hidden="false" customHeight="true" outlineLevel="0" collapsed="false">
      <c r="A15" s="1" t="s">
        <v>208</v>
      </c>
      <c r="B15" s="122" t="s">
        <v>198</v>
      </c>
      <c r="C15" s="123" t="n">
        <v>0.03</v>
      </c>
      <c r="D15" s="123" t="n">
        <v>0.03</v>
      </c>
      <c r="E15" s="123" t="n">
        <v>0.03</v>
      </c>
      <c r="F15" s="123" t="n">
        <v>0.03</v>
      </c>
      <c r="G15" s="42" t="s">
        <v>209</v>
      </c>
    </row>
    <row r="16" customFormat="false" ht="15" hidden="false" customHeight="true" outlineLevel="0" collapsed="false">
      <c r="A16" s="1" t="s">
        <v>210</v>
      </c>
      <c r="B16" s="122" t="s">
        <v>198</v>
      </c>
      <c r="C16" s="123" t="n">
        <v>0.1</v>
      </c>
      <c r="D16" s="123" t="n">
        <v>0.1</v>
      </c>
      <c r="E16" s="123" t="n">
        <v>0.1</v>
      </c>
      <c r="F16" s="123" t="n">
        <v>0.1</v>
      </c>
      <c r="G16" s="42" t="s">
        <v>211</v>
      </c>
    </row>
    <row r="17" customFormat="false" ht="15" hidden="false" customHeight="true" outlineLevel="0" collapsed="false">
      <c r="A17" s="1" t="s">
        <v>212</v>
      </c>
      <c r="B17" s="122" t="s">
        <v>198</v>
      </c>
      <c r="C17" s="123" t="n">
        <v>0.12</v>
      </c>
      <c r="D17" s="123" t="n">
        <v>0.12</v>
      </c>
      <c r="E17" s="123" t="n">
        <v>0.12</v>
      </c>
      <c r="F17" s="123" t="n">
        <v>0.12</v>
      </c>
      <c r="G17" s="42" t="s">
        <v>213</v>
      </c>
    </row>
    <row r="18" customFormat="false" ht="15" hidden="false" customHeight="true" outlineLevel="0" collapsed="false">
      <c r="A18" s="1" t="s">
        <v>214</v>
      </c>
      <c r="B18" s="124" t="n">
        <v>50000</v>
      </c>
      <c r="C18" s="125" t="n">
        <v>75000</v>
      </c>
      <c r="D18" s="125" t="n">
        <v>100000</v>
      </c>
      <c r="E18" s="125" t="n">
        <v>150000</v>
      </c>
      <c r="F18" s="125" t="n">
        <v>200000</v>
      </c>
      <c r="G18" s="42" t="s">
        <v>215</v>
      </c>
    </row>
    <row r="19" customFormat="false" ht="15" hidden="false" customHeight="true" outlineLevel="0" collapsed="false"/>
    <row r="20" customFormat="false" ht="15" hidden="false" customHeight="true" outlineLevel="0" collapsed="false">
      <c r="A20" s="121" t="s">
        <v>216</v>
      </c>
    </row>
    <row r="21" customFormat="false" ht="15" hidden="false" customHeight="true" outlineLevel="0" collapsed="false">
      <c r="A21" s="1" t="s">
        <v>217</v>
      </c>
      <c r="B21" s="122" t="s">
        <v>198</v>
      </c>
      <c r="C21" s="123" t="n">
        <v>0.22</v>
      </c>
      <c r="D21" s="123" t="n">
        <v>0.23</v>
      </c>
      <c r="E21" s="123" t="n">
        <v>0.24</v>
      </c>
      <c r="F21" s="123" t="n">
        <v>0.25</v>
      </c>
      <c r="G21" s="42" t="s">
        <v>218</v>
      </c>
    </row>
    <row r="22" customFormat="false" ht="15" hidden="false" customHeight="true" outlineLevel="0" collapsed="false">
      <c r="A22" s="1" t="s">
        <v>219</v>
      </c>
      <c r="B22" s="126" t="n">
        <v>0.6</v>
      </c>
      <c r="C22" s="123" t="n">
        <v>0.6</v>
      </c>
      <c r="D22" s="123" t="n">
        <v>0.6</v>
      </c>
      <c r="E22" s="123" t="n">
        <v>0.6</v>
      </c>
      <c r="F22" s="123" t="n">
        <v>0.6</v>
      </c>
      <c r="G22" s="42" t="s">
        <v>220</v>
      </c>
    </row>
    <row r="23" customFormat="false" ht="15" hidden="false" customHeight="true" outlineLevel="0" collapsed="false">
      <c r="A23" s="1" t="s">
        <v>221</v>
      </c>
      <c r="B23" s="122" t="s">
        <v>198</v>
      </c>
      <c r="C23" s="123" t="n">
        <v>0.05</v>
      </c>
      <c r="D23" s="123" t="n">
        <v>0.05</v>
      </c>
      <c r="E23" s="123" t="n">
        <v>0.03</v>
      </c>
      <c r="F23" s="123" t="n">
        <v>0.03</v>
      </c>
      <c r="G23" s="42" t="s">
        <v>199</v>
      </c>
    </row>
    <row r="25" customFormat="false" ht="15" hidden="false" customHeight="true" outlineLevel="0" collapsed="false">
      <c r="A25" s="120" t="s">
        <v>222</v>
      </c>
      <c r="B25" s="86"/>
      <c r="C25" s="86"/>
      <c r="D25" s="86"/>
      <c r="E25" s="86"/>
      <c r="F25" s="86"/>
      <c r="G25" s="86"/>
      <c r="H25" s="86"/>
      <c r="I25" s="86"/>
      <c r="J25" s="86"/>
      <c r="K25" s="86"/>
    </row>
    <row r="26" customFormat="false" ht="15" hidden="false" customHeight="true" outlineLevel="0" collapsed="false">
      <c r="A26" s="1" t="s">
        <v>223</v>
      </c>
      <c r="B26" s="122" t="n">
        <v>310000</v>
      </c>
      <c r="C26" s="125" t="n">
        <v>385000</v>
      </c>
      <c r="D26" s="125" t="n">
        <v>485000</v>
      </c>
      <c r="E26" s="125" t="n">
        <v>635000</v>
      </c>
      <c r="F26" s="125" t="n">
        <v>835000</v>
      </c>
    </row>
    <row r="27" customFormat="false" ht="15" hidden="false" customHeight="true" outlineLevel="0" collapsed="false">
      <c r="A27" s="1" t="s">
        <v>224</v>
      </c>
      <c r="B27" s="122" t="n">
        <v>272</v>
      </c>
      <c r="C27" s="127" t="n">
        <v>332</v>
      </c>
      <c r="D27" s="127" t="n">
        <v>408</v>
      </c>
      <c r="E27" s="127" t="n">
        <v>506</v>
      </c>
      <c r="F27" s="127" t="n">
        <v>633</v>
      </c>
    </row>
    <row r="28" customFormat="false" ht="15" hidden="false" customHeight="true" outlineLevel="0" collapsed="false">
      <c r="A28" s="1" t="s">
        <v>225</v>
      </c>
      <c r="B28" s="122" t="n">
        <v>21</v>
      </c>
      <c r="C28" s="127" t="n">
        <v>28</v>
      </c>
      <c r="D28" s="127" t="n">
        <v>35</v>
      </c>
      <c r="E28" s="127" t="n">
        <v>42</v>
      </c>
      <c r="F28" s="127" t="n">
        <v>50</v>
      </c>
    </row>
    <row r="29" customFormat="false" ht="15" hidden="false" customHeight="true" outlineLevel="0" collapsed="false">
      <c r="A29" s="1" t="s">
        <v>226</v>
      </c>
      <c r="B29" s="122" t="n">
        <v>1800</v>
      </c>
      <c r="C29" s="127" t="n">
        <v>4000</v>
      </c>
      <c r="D29" s="127" t="n">
        <v>7000</v>
      </c>
      <c r="E29" s="127" t="n">
        <v>12000</v>
      </c>
      <c r="F29" s="127" t="n">
        <v>20000</v>
      </c>
    </row>
    <row r="32" customFormat="false" ht="15" hidden="false" customHeight="true" outlineLevel="0" collapsed="false">
      <c r="A32" s="120" t="s">
        <v>227</v>
      </c>
      <c r="B32" s="86"/>
      <c r="C32" s="86"/>
      <c r="D32" s="86"/>
      <c r="E32" s="86"/>
      <c r="F32" s="86"/>
      <c r="G32" s="86"/>
      <c r="H32" s="86"/>
      <c r="I32" s="86"/>
      <c r="J32" s="86"/>
      <c r="K32" s="86"/>
    </row>
    <row r="33" customFormat="false" ht="15" hidden="false" customHeight="true" outlineLevel="0" collapsed="false">
      <c r="A33" s="36" t="s">
        <v>228</v>
      </c>
      <c r="B33" s="36" t="s">
        <v>109</v>
      </c>
      <c r="C33" s="36" t="s">
        <v>173</v>
      </c>
      <c r="D33" s="36" t="s">
        <v>174</v>
      </c>
      <c r="E33" s="36" t="s">
        <v>175</v>
      </c>
      <c r="F33" s="36" t="s">
        <v>176</v>
      </c>
    </row>
    <row r="34" customFormat="false" ht="15" hidden="false" customHeight="true" outlineLevel="0" collapsed="false">
      <c r="A34" s="1" t="s">
        <v>11</v>
      </c>
      <c r="B34" s="124" t="n">
        <f aca="false">SUM(B35:B38)</f>
        <v>375000</v>
      </c>
      <c r="C34" s="124" t="n">
        <f aca="false">SUM(C35:C38)</f>
        <v>557500</v>
      </c>
      <c r="D34" s="124" t="n">
        <f aca="false">SUM(D35:D38)</f>
        <v>569375</v>
      </c>
      <c r="E34" s="124" t="n">
        <f aca="false">SUM(E35:E38)</f>
        <v>640531.25</v>
      </c>
      <c r="F34" s="124" t="n">
        <f aca="false">SUM(F35:F38)</f>
        <v>722360.9375</v>
      </c>
    </row>
    <row r="35" customFormat="false" ht="15" hidden="false" customHeight="true" outlineLevel="0" collapsed="false">
      <c r="A35" s="42" t="s">
        <v>12</v>
      </c>
      <c r="B35" s="124" t="n">
        <f aca="false">'Current Year'!E7</f>
        <v>0</v>
      </c>
      <c r="C35" s="128" t="n">
        <f aca="false">C$8</f>
        <v>45000</v>
      </c>
      <c r="D35" s="128" t="n">
        <f aca="false">D$8</f>
        <v>45000</v>
      </c>
      <c r="E35" s="128" t="n">
        <f aca="false">E$8</f>
        <v>45000</v>
      </c>
      <c r="F35" s="128" t="n">
        <f aca="false">F$8</f>
        <v>45000</v>
      </c>
    </row>
    <row r="36" customFormat="false" ht="15" hidden="false" customHeight="true" outlineLevel="0" collapsed="false">
      <c r="A36" s="42" t="s">
        <v>229</v>
      </c>
      <c r="B36" s="124" t="n">
        <f aca="false">'Current Year'!E8</f>
        <v>0</v>
      </c>
      <c r="C36" s="128" t="n">
        <f aca="false">C$9</f>
        <v>100000</v>
      </c>
      <c r="D36" s="128" t="n">
        <f aca="false">D$9</f>
        <v>50000</v>
      </c>
      <c r="E36" s="128" t="n">
        <f aca="false">E$9</f>
        <v>50000</v>
      </c>
      <c r="F36" s="128" t="n">
        <f aca="false">F$9</f>
        <v>50000</v>
      </c>
    </row>
    <row r="37" customFormat="false" ht="15" hidden="false" customHeight="true" outlineLevel="0" collapsed="false">
      <c r="A37" s="42" t="s">
        <v>14</v>
      </c>
      <c r="B37" s="124" t="n">
        <f aca="false">'Current Year'!E9</f>
        <v>0</v>
      </c>
      <c r="C37" s="128" t="n">
        <f aca="false">B37*(1+C$10)</f>
        <v>0</v>
      </c>
      <c r="D37" s="128" t="n">
        <f aca="false">C37*(1+D$10)</f>
        <v>0</v>
      </c>
      <c r="E37" s="128" t="n">
        <f aca="false">D37*(1+E$10)</f>
        <v>0</v>
      </c>
      <c r="F37" s="128" t="n">
        <f aca="false">E37*(1+F$10)</f>
        <v>0</v>
      </c>
    </row>
    <row r="38" customFormat="false" ht="15" hidden="false" customHeight="true" outlineLevel="0" collapsed="false">
      <c r="A38" s="42" t="s">
        <v>230</v>
      </c>
      <c r="B38" s="124" t="n">
        <f aca="false">'Current Year'!E10</f>
        <v>375000</v>
      </c>
      <c r="C38" s="128" t="n">
        <f aca="false">B38*(1+C$7)</f>
        <v>412500</v>
      </c>
      <c r="D38" s="128" t="n">
        <f aca="false">C38*(1+D$7)</f>
        <v>474375</v>
      </c>
      <c r="E38" s="128" t="n">
        <f aca="false">D38*(1+E$7)</f>
        <v>545531.25</v>
      </c>
      <c r="F38" s="128" t="n">
        <f aca="false">E38*(1+F$7)</f>
        <v>627360.9375</v>
      </c>
    </row>
    <row r="39" customFormat="false" ht="15" hidden="false" customHeight="true" outlineLevel="0" collapsed="false">
      <c r="A39" s="1" t="s">
        <v>17</v>
      </c>
      <c r="B39" s="124" t="n">
        <f aca="false">'Current Year'!D11</f>
        <v>2000</v>
      </c>
      <c r="C39" s="124" t="n">
        <f aca="false">B39</f>
        <v>2000</v>
      </c>
      <c r="D39" s="124" t="n">
        <f aca="false">C39</f>
        <v>2000</v>
      </c>
      <c r="E39" s="124" t="n">
        <f aca="false">D39</f>
        <v>2000</v>
      </c>
      <c r="F39" s="124" t="n">
        <f aca="false">E39</f>
        <v>2000</v>
      </c>
    </row>
    <row r="40" customFormat="false" ht="15" hidden="false" customHeight="true" outlineLevel="0" collapsed="false">
      <c r="A40" s="1" t="s">
        <v>19</v>
      </c>
      <c r="B40" s="124" t="n">
        <f aca="false">'Current Year'!D12</f>
        <v>20000</v>
      </c>
      <c r="C40" s="124" t="n">
        <f aca="false">B40*1.05</f>
        <v>21000</v>
      </c>
      <c r="D40" s="124" t="n">
        <f aca="false">C40*1.05</f>
        <v>22050</v>
      </c>
      <c r="E40" s="124" t="n">
        <f aca="false">D40*1.05</f>
        <v>23152.5</v>
      </c>
      <c r="F40" s="124" t="n">
        <f aca="false">E40*1.05</f>
        <v>24310.125</v>
      </c>
    </row>
    <row r="41" customFormat="false" ht="15" hidden="false" customHeight="true" outlineLevel="0" collapsed="false">
      <c r="A41" s="1" t="s">
        <v>21</v>
      </c>
      <c r="B41" s="124" t="n">
        <f aca="false">'Current Year'!D13</f>
        <v>0</v>
      </c>
      <c r="C41" s="124" t="n">
        <f aca="false">B41</f>
        <v>0</v>
      </c>
      <c r="D41" s="124" t="n">
        <f aca="false">C41</f>
        <v>0</v>
      </c>
      <c r="E41" s="124" t="n">
        <f aca="false">D41</f>
        <v>0</v>
      </c>
      <c r="F41" s="124" t="n">
        <f aca="false">E41</f>
        <v>0</v>
      </c>
    </row>
    <row r="42" customFormat="false" ht="15" hidden="false" customHeight="true" outlineLevel="0" collapsed="false">
      <c r="A42" s="1" t="s">
        <v>23</v>
      </c>
      <c r="B42" s="124" t="n">
        <f aca="false">'Current Year'!D14</f>
        <v>100000</v>
      </c>
      <c r="C42" s="124" t="n">
        <f aca="false">B42*(1+C$11)</f>
        <v>110000</v>
      </c>
      <c r="D42" s="124" t="n">
        <f aca="false">C42*(1+D$11)</f>
        <v>121000</v>
      </c>
      <c r="E42" s="124" t="n">
        <f aca="false">D42*(1+E$11)</f>
        <v>133100</v>
      </c>
      <c r="F42" s="124" t="n">
        <f aca="false">E42*(1+F$11)</f>
        <v>146410</v>
      </c>
    </row>
    <row r="43" customFormat="false" ht="15" hidden="false" customHeight="true" outlineLevel="0" collapsed="false">
      <c r="A43" s="1" t="s">
        <v>25</v>
      </c>
      <c r="B43" s="124" t="n">
        <f aca="false">SUM(B44:B45)</f>
        <v>10000</v>
      </c>
      <c r="C43" s="124" t="n">
        <f aca="false">SUM(C44:C45)</f>
        <v>12000</v>
      </c>
      <c r="D43" s="124" t="n">
        <f aca="false">SUM(D44:D45)</f>
        <v>13800</v>
      </c>
      <c r="E43" s="124" t="n">
        <f aca="false">SUM(E44:E45)</f>
        <v>15870</v>
      </c>
      <c r="F43" s="124" t="n">
        <f aca="false">SUM(F44:F45)</f>
        <v>17457</v>
      </c>
    </row>
    <row r="44" customFormat="false" ht="15" hidden="false" customHeight="true" outlineLevel="0" collapsed="false">
      <c r="A44" s="42" t="s">
        <v>27</v>
      </c>
      <c r="B44" s="124" t="n">
        <f aca="false">'Current Year'!E16</f>
        <v>0</v>
      </c>
      <c r="C44" s="128" t="n">
        <f aca="false">B44*(1+C$12)</f>
        <v>0</v>
      </c>
      <c r="D44" s="128" t="n">
        <f aca="false">C44*(1+D$12)</f>
        <v>0</v>
      </c>
      <c r="E44" s="128" t="n">
        <f aca="false">D44*(1+E$12)</f>
        <v>0</v>
      </c>
      <c r="F44" s="128" t="n">
        <f aca="false">E44*(1+F$12)</f>
        <v>0</v>
      </c>
    </row>
    <row r="45" customFormat="false" ht="15" hidden="false" customHeight="true" outlineLevel="0" collapsed="false">
      <c r="A45" s="42" t="s">
        <v>112</v>
      </c>
      <c r="B45" s="124" t="n">
        <f aca="false">'Current Year'!E17</f>
        <v>10000</v>
      </c>
      <c r="C45" s="128" t="n">
        <f aca="false">B45*(1+C$12)</f>
        <v>12000</v>
      </c>
      <c r="D45" s="128" t="n">
        <f aca="false">C45*(1+D$12)</f>
        <v>13800</v>
      </c>
      <c r="E45" s="128" t="n">
        <f aca="false">D45*(1+E$12)</f>
        <v>15870</v>
      </c>
      <c r="F45" s="128" t="n">
        <f aca="false">E45*(1+F$12)</f>
        <v>17457</v>
      </c>
    </row>
    <row r="46" customFormat="false" ht="15" hidden="false" customHeight="true" outlineLevel="0" collapsed="false">
      <c r="A46" s="1" t="s">
        <v>113</v>
      </c>
      <c r="B46" s="124" t="n">
        <f aca="false">'Current Year'!D18</f>
        <v>0</v>
      </c>
      <c r="C46" s="124" t="n">
        <f aca="false">B46</f>
        <v>0</v>
      </c>
      <c r="D46" s="124" t="n">
        <f aca="false">C46</f>
        <v>0</v>
      </c>
      <c r="E46" s="124" t="n">
        <f aca="false">D46</f>
        <v>0</v>
      </c>
      <c r="F46" s="124" t="n">
        <f aca="false">E46</f>
        <v>0</v>
      </c>
    </row>
    <row r="47" customFormat="false" ht="15" hidden="false" customHeight="true" outlineLevel="0" collapsed="false">
      <c r="A47" s="129" t="s">
        <v>32</v>
      </c>
      <c r="B47" s="130" t="n">
        <f aca="false">B34+B39+B40+B41+B42+B43+B46</f>
        <v>507000</v>
      </c>
      <c r="C47" s="130" t="n">
        <f aca="false">C34+C39+C40+C41+C42+C43+C46</f>
        <v>702500</v>
      </c>
      <c r="D47" s="130" t="n">
        <f aca="false">D34+D39+D40+D41+D42+D43+D46</f>
        <v>728225</v>
      </c>
      <c r="E47" s="130" t="n">
        <f aca="false">E34+E39+E40+E41+E42+E43+E46</f>
        <v>814653.75</v>
      </c>
      <c r="F47" s="130" t="n">
        <f aca="false">F34+F39+F40+F41+F42+F43+F46</f>
        <v>912538.0625</v>
      </c>
    </row>
    <row r="49" customFormat="false" ht="15" hidden="false" customHeight="true" outlineLevel="0" collapsed="false">
      <c r="A49" s="120" t="s">
        <v>231</v>
      </c>
      <c r="B49" s="86"/>
      <c r="C49" s="86"/>
      <c r="D49" s="86"/>
      <c r="E49" s="86"/>
      <c r="F49" s="86"/>
      <c r="G49" s="86"/>
      <c r="H49" s="86"/>
      <c r="I49" s="86"/>
      <c r="J49" s="86"/>
      <c r="K49" s="86"/>
    </row>
    <row r="50" customFormat="false" ht="15" hidden="false" customHeight="true" outlineLevel="0" collapsed="false">
      <c r="A50" s="36" t="s">
        <v>228</v>
      </c>
      <c r="B50" s="36" t="s">
        <v>109</v>
      </c>
      <c r="C50" s="36" t="s">
        <v>173</v>
      </c>
      <c r="D50" s="36" t="s">
        <v>174</v>
      </c>
      <c r="E50" s="36" t="s">
        <v>175</v>
      </c>
      <c r="F50" s="36" t="s">
        <v>176</v>
      </c>
    </row>
    <row r="51" customFormat="false" ht="15" hidden="false" customHeight="true" outlineLevel="0" collapsed="false">
      <c r="A51" s="1" t="s">
        <v>76</v>
      </c>
      <c r="B51" s="124" t="n">
        <f aca="false">'Current Year'!D40</f>
        <v>50000</v>
      </c>
      <c r="C51" s="124" t="n">
        <f aca="false">C$18</f>
        <v>75000</v>
      </c>
      <c r="D51" s="124" t="n">
        <f aca="false">D$18</f>
        <v>100000</v>
      </c>
      <c r="E51" s="124" t="n">
        <f aca="false">E$18</f>
        <v>150000</v>
      </c>
      <c r="F51" s="124" t="n">
        <f aca="false">F$18</f>
        <v>200000</v>
      </c>
    </row>
    <row r="52" customFormat="false" ht="15" hidden="false" customHeight="true" outlineLevel="0" collapsed="false">
      <c r="A52" s="1" t="s">
        <v>37</v>
      </c>
      <c r="B52" s="124" t="n">
        <f aca="false">SUMIF('Current Year'!C22:C50,"Development",'Current Year'!D22:D50)</f>
        <v>185533</v>
      </c>
      <c r="C52" s="124" t="n">
        <f aca="false">B52*(1+C$15)</f>
        <v>191098.99</v>
      </c>
      <c r="D52" s="124" t="n">
        <f aca="false">C52*(1+D$15)</f>
        <v>196831.9597</v>
      </c>
      <c r="E52" s="124" t="n">
        <f aca="false">D52*(1+E$15)</f>
        <v>202736.918491</v>
      </c>
      <c r="F52" s="124" t="n">
        <f aca="false">E52*(1+F$15)</f>
        <v>208819.02604573</v>
      </c>
    </row>
    <row r="53" customFormat="false" ht="15" hidden="false" customHeight="true" outlineLevel="0" collapsed="false">
      <c r="A53" s="1" t="s">
        <v>53</v>
      </c>
      <c r="B53" s="124" t="n">
        <f aca="false">SUMIF('Current Year'!C22:C50,"Programs",'Current Year'!D22:D50)</f>
        <v>173269</v>
      </c>
      <c r="C53" s="124" t="n">
        <f aca="false">B53*(1+C$16)</f>
        <v>190595.9</v>
      </c>
      <c r="D53" s="124" t="n">
        <f aca="false">C53*(1+D$16)</f>
        <v>209655.49</v>
      </c>
      <c r="E53" s="124" t="n">
        <f aca="false">D53*(1+E$16)</f>
        <v>230621.039</v>
      </c>
      <c r="F53" s="124" t="n">
        <f aca="false">E53*(1+F$16)</f>
        <v>253683.1429</v>
      </c>
    </row>
    <row r="54" customFormat="false" ht="15" hidden="false" customHeight="true" outlineLevel="0" collapsed="false">
      <c r="A54" s="1" t="s">
        <v>46</v>
      </c>
      <c r="B54" s="124" t="n">
        <f aca="false">SUMIF('Current Year'!C22:C50,"Overhead",'Current Year'!D22:D50)</f>
        <v>70045</v>
      </c>
      <c r="C54" s="124" t="n">
        <f aca="false">C47*C$17</f>
        <v>84300</v>
      </c>
      <c r="D54" s="124" t="n">
        <f aca="false">D47*D$17</f>
        <v>87387</v>
      </c>
      <c r="E54" s="124" t="n">
        <f aca="false">E47*E$17</f>
        <v>97758.45</v>
      </c>
      <c r="F54" s="124" t="n">
        <f aca="false">F47*F$17</f>
        <v>109504.5675</v>
      </c>
    </row>
    <row r="55" customFormat="false" ht="15" hidden="false" customHeight="true" outlineLevel="0" collapsed="false">
      <c r="A55" s="129" t="s">
        <v>97</v>
      </c>
      <c r="B55" s="130" t="n">
        <f aca="false">SUM(B51:B54)</f>
        <v>478847</v>
      </c>
      <c r="C55" s="130" t="n">
        <f aca="false">SUM(C51:C54)</f>
        <v>540994.89</v>
      </c>
      <c r="D55" s="130" t="n">
        <f aca="false">SUM(D51:D54)</f>
        <v>593874.4497</v>
      </c>
      <c r="E55" s="130" t="n">
        <f aca="false">SUM(E51:E54)</f>
        <v>681116.407491</v>
      </c>
      <c r="F55" s="130" t="n">
        <f aca="false">SUM(F51:F54)</f>
        <v>772006.73644573</v>
      </c>
    </row>
    <row r="57" customFormat="false" ht="15" hidden="false" customHeight="true" outlineLevel="0" collapsed="false">
      <c r="A57" s="131" t="s">
        <v>101</v>
      </c>
      <c r="B57" s="132" t="n">
        <f aca="false">B47-B55</f>
        <v>28153</v>
      </c>
      <c r="C57" s="132" t="n">
        <f aca="false">C47-C55</f>
        <v>161505.11</v>
      </c>
      <c r="D57" s="132" t="n">
        <f aca="false">D47-D55</f>
        <v>134350.5503</v>
      </c>
      <c r="E57" s="132" t="n">
        <f aca="false">E47-E55</f>
        <v>133537.342509</v>
      </c>
      <c r="F57" s="132" t="n">
        <f aca="false">F47-F55</f>
        <v>140531.32605427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2026-01-26T21:11:30Z</dcterms:created>
  <dc:creator>openpyxl</dc:creator>
  <dc:description/>
  <dc:language>en-US</dc:language>
  <cp:lastModifiedBy/>
  <dcterms:modified xsi:type="dcterms:W3CDTF">2026-02-16T03:16:49Z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