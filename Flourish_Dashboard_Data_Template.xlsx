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_Data" sheetId="1" state="visible" r:id="rId3"/>
    <sheet name="Monthly_Revenue" sheetId="2" state="visible" r:id="rId4"/>
    <sheet name="Monthly_Expenses" sheetId="3" state="visible" r:id="rId5"/>
    <sheet name="Community_Metrics" sheetId="4" state="visible" r:id="rId6"/>
    <sheet name="Historical_Data" sheetId="5" state="visible" r:id="rId7"/>
    <sheet name="Goals_2030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<sst xmlns="http://schemas.openxmlformats.org/spreadsheetml/2006/main" count="129" uniqueCount="76">
  <si>
    <t xml:space="preserve">FLOURISH COLLECTIVE - DASHBOARD DATA HUB</t>
  </si>
  <si>
    <t xml:space="preserve">This sheet feeds the Looker Studio dashboard. Update monthly.</t>
  </si>
  <si>
    <t xml:space="preserve">CURRENT PERIOD SUMMARY</t>
  </si>
  <si>
    <t xml:space="preserve">Metric</t>
  </si>
  <si>
    <t xml:space="preserve">Current Value</t>
  </si>
  <si>
    <t xml:space="preserve">Target</t>
  </si>
  <si>
    <t xml:space="preserve">% of Target</t>
  </si>
  <si>
    <t xml:space="preserve">Prior Year</t>
  </si>
  <si>
    <t xml:space="preserve">YoY Change</t>
  </si>
  <si>
    <t xml:space="preserve">Total Revenue YTD</t>
  </si>
  <si>
    <t xml:space="preserve">Community Contributions</t>
  </si>
  <si>
    <t xml:space="preserve">Board Contributions</t>
  </si>
  <si>
    <t xml:space="preserve">NFF Grant</t>
  </si>
  <si>
    <t xml:space="preserve">Major Donors</t>
  </si>
  <si>
    <t xml:space="preserve">Fundraising Events</t>
  </si>
  <si>
    <t xml:space="preserve">Learning Events</t>
  </si>
  <si>
    <t xml:space="preserve">Annual Gathering</t>
  </si>
  <si>
    <t xml:space="preserve">Merchandise</t>
  </si>
  <si>
    <t xml:space="preserve">Total Expenses YTD</t>
  </si>
  <si>
    <t xml:space="preserve">Grantmaking</t>
  </si>
  <si>
    <t xml:space="preserve">Development</t>
  </si>
  <si>
    <t xml:space="preserve">Programs</t>
  </si>
  <si>
    <t xml:space="preserve">Overhead</t>
  </si>
  <si>
    <t xml:space="preserve">Net Income YTD</t>
  </si>
  <si>
    <t xml:space="preserve">Active Community Size</t>
  </si>
  <si>
    <t xml:space="preserve">Number of Donors</t>
  </si>
  <si>
    <t xml:space="preserve">Average Donation</t>
  </si>
  <si>
    <t xml:space="preserve">% Community Giving</t>
  </si>
  <si>
    <t xml:space="preserve">60%</t>
  </si>
  <si>
    <t xml:space="preserve">67%</t>
  </si>
  <si>
    <t xml:space="preserve">Cumulative Grants Given</t>
  </si>
  <si>
    <t xml:space="preserve">MONTHLY REVENUE TRACKING</t>
  </si>
  <si>
    <t xml:space="preserve">Category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</si>
  <si>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</si>
  <si>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</si>
  <si>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</si>
  <si>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</si>
  <si>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</si>
  <si>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</si>
  <si>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</si>
  <si>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</si>
  <si>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</si>
  <si>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</si>
  <si>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</si>
  <si>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</si>
  <si>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YTD Total</t>
  </si>
  <si>
    <t xml:space="preserve">Budget</t>
  </si>
  <si>
    <t xml:space="preserve">% Budget</t>
  </si>
  <si>
    <t xml:space="preserve">TOTAL</t>
  </si>
  <si>
    <t xml:space="preserve">MONTHLY EXPENSE TRACKING</t>
  </si>
  <si>
    <t xml:space="preserve">COMMUNITY GROWTH TRACKING</t>
  </si>
  <si>
    <t xml:space="preserve">New Members Added</t>
  </si>
  <si>
    <t xml:space="preserve">Event Attendees</t>
  </si>
  <si>
    <t xml:space="preserve">Learning Event Attendees</t>
  </si>
  <si>
    <t xml:space="preserve">Unique Donors</t>
  </si>
  <si>
    <t xml:space="preserve">New Donors</t>
  </si>
  <si>
    <t xml:space="preserve">Total Donations ($)</t>
  </si>
  <si>
    <t xml:space="preserve">Average Gift Size</t>
  </si>
  <si>
    <t xml:space="preserve">HISTORICAL DATA (FY21-FY25)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</si>
  <si>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</si>
  <si>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</si>
  <si>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</si>
  <si>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</si>
  <si>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</si>
  <si>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Total Revenue</t>
  </si>
  <si>
    <t xml:space="preserve">Total Expenses</t>
  </si>
  <si>
    <t xml:space="preserve">Net Income</t>
  </si>
  <si>
    <t xml:space="preserve">Cumulative Grants</t>
  </si>
  <si>
    <t xml:space="preserve">2030 STRATEGIC GOALS TRACKER</t>
  </si>
  <si>
    <t xml:space="preserve">Goal</t>
  </si>
  <si>
    <t xml:space="preserve">Current</t>
  </si>
  <si>
    <t xml:space="preserve">% Complete</t>
  </si>
  <si>
    <t xml:space="preserve">Remaining</t>
  </si>
  <si>
    <t xml:space="preserve">Active Allies</t>
  </si>
  <si>
    <t xml:space="preserve">Impact Partner Organizations</t>
  </si>
  <si>
    <t xml:space="preserve">Individuals Engaged (cumulative)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</si>
</sst>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1A5E63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5E63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6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0" t="s">
        <v>9</v>
      </c>
      <c r="B6" s="5"/>
      <c r="C6" s="0" t="n">
        <v>507000</v>
      </c>
      <c r="D6" s="6" t="n">
        <f aca="false">IF(C6=0,"",B6/C6)</f>
        <v>0</v>
      </c>
    </row>
    <row r="7" customFormat="false" ht="15" hidden="false" customHeight="false" outlineLevel="0" collapsed="false">
      <c r="A7" s="0" t="s">
        <v>10</v>
      </c>
      <c r="B7" s="5"/>
      <c r="C7" s="0" t="n">
        <v>130000</v>
      </c>
      <c r="D7" s="6" t="n">
        <f aca="false">IF(C7=0,"",B7/C7)</f>
        <v>0</v>
      </c>
    </row>
    <row r="8" customFormat="false" ht="15" hidden="false" customHeight="false" outlineLevel="0" collapsed="false">
      <c r="A8" s="0" t="s">
        <v>11</v>
      </c>
      <c r="B8" s="5"/>
      <c r="C8" s="0" t="n">
        <v>45000</v>
      </c>
      <c r="D8" s="6" t="n">
        <f aca="false">IF(C8=0,"",B8/C8)</f>
        <v>0</v>
      </c>
    </row>
    <row r="9" customFormat="false" ht="15" hidden="false" customHeight="false" outlineLevel="0" collapsed="false">
      <c r="A9" s="0" t="s">
        <v>12</v>
      </c>
      <c r="B9" s="5"/>
      <c r="C9" s="0" t="n">
        <v>100000</v>
      </c>
      <c r="D9" s="6" t="n">
        <f aca="false">IF(C9=0,"",B9/C9)</f>
        <v>0</v>
      </c>
    </row>
    <row r="10" customFormat="false" ht="15" hidden="false" customHeight="false" outlineLevel="0" collapsed="false">
      <c r="A10" s="0" t="s">
        <v>13</v>
      </c>
      <c r="B10" s="5"/>
      <c r="C10" s="0" t="n">
        <v>100000</v>
      </c>
      <c r="D10" s="6" t="n">
        <f aca="false">IF(C10=0,"",B10/C10)</f>
        <v>0</v>
      </c>
    </row>
    <row r="11" customFormat="false" ht="15" hidden="false" customHeight="false" outlineLevel="0" collapsed="false">
      <c r="A11" s="0" t="s">
        <v>14</v>
      </c>
      <c r="B11" s="5"/>
      <c r="C11" s="0" t="n">
        <v>100000</v>
      </c>
      <c r="D11" s="6" t="n">
        <f aca="false">IF(C11=0,"",B11/C11)</f>
        <v>0</v>
      </c>
    </row>
    <row r="12" customFormat="false" ht="15" hidden="false" customHeight="false" outlineLevel="0" collapsed="false">
      <c r="A12" s="0" t="s">
        <v>15</v>
      </c>
      <c r="B12" s="5"/>
      <c r="C12" s="0" t="n">
        <v>10000</v>
      </c>
      <c r="D12" s="6" t="n">
        <f aca="false">IF(C12=0,"",B12/C12)</f>
        <v>0</v>
      </c>
    </row>
    <row r="13" customFormat="false" ht="15" hidden="false" customHeight="false" outlineLevel="0" collapsed="false">
      <c r="A13" s="0" t="s">
        <v>16</v>
      </c>
      <c r="B13" s="5"/>
      <c r="C13" s="0" t="n">
        <v>20000</v>
      </c>
      <c r="D13" s="6" t="n">
        <f aca="false">IF(C13=0,"",B13/C13)</f>
        <v>0</v>
      </c>
    </row>
    <row r="14" customFormat="false" ht="15" hidden="false" customHeight="false" outlineLevel="0" collapsed="false">
      <c r="A14" s="0" t="s">
        <v>17</v>
      </c>
      <c r="B14" s="5"/>
      <c r="C14" s="0" t="n">
        <v>2000</v>
      </c>
      <c r="D14" s="6" t="n">
        <f aca="false">IF(C14=0,"",B14/C14)</f>
        <v>0</v>
      </c>
    </row>
    <row r="15" customFormat="false" ht="15" hidden="false" customHeight="false" outlineLevel="0" collapsed="false">
      <c r="B15" s="5"/>
      <c r="D15" s="6" t="str">
        <f aca="false">IF(C15=0,"",B15/C15)</f>
        <v/>
      </c>
    </row>
    <row r="16" customFormat="false" ht="15" hidden="false" customHeight="false" outlineLevel="0" collapsed="false">
      <c r="A16" s="0" t="s">
        <v>18</v>
      </c>
      <c r="B16" s="5"/>
      <c r="C16" s="0" t="n">
        <v>478848</v>
      </c>
    </row>
    <row r="17" customFormat="false" ht="15" hidden="false" customHeight="false" outlineLevel="0" collapsed="false">
      <c r="A17" s="0" t="s">
        <v>19</v>
      </c>
      <c r="B17" s="5"/>
      <c r="C17" s="0" t="n">
        <v>50000</v>
      </c>
    </row>
    <row r="18" customFormat="false" ht="15" hidden="false" customHeight="false" outlineLevel="0" collapsed="false">
      <c r="A18" s="0" t="s">
        <v>20</v>
      </c>
      <c r="B18" s="5"/>
      <c r="C18" s="0" t="n">
        <v>185533</v>
      </c>
    </row>
    <row r="19" customFormat="false" ht="15" hidden="false" customHeight="false" outlineLevel="0" collapsed="false">
      <c r="A19" s="0" t="s">
        <v>21</v>
      </c>
      <c r="B19" s="5"/>
      <c r="C19" s="0" t="n">
        <v>173270</v>
      </c>
    </row>
    <row r="20" customFormat="false" ht="15" hidden="false" customHeight="false" outlineLevel="0" collapsed="false">
      <c r="A20" s="0" t="s">
        <v>22</v>
      </c>
      <c r="B20" s="5"/>
      <c r="C20" s="0" t="n">
        <v>70045</v>
      </c>
    </row>
    <row r="21" customFormat="false" ht="15" hidden="false" customHeight="false" outlineLevel="0" collapsed="false">
      <c r="B21" s="5"/>
    </row>
    <row r="22" customFormat="false" ht="15" hidden="false" customHeight="false" outlineLevel="0" collapsed="false">
      <c r="A22" s="0" t="s">
        <v>23</v>
      </c>
      <c r="B22" s="5"/>
      <c r="C22" s="0" t="n">
        <v>28152</v>
      </c>
    </row>
    <row r="23" customFormat="false" ht="15" hidden="false" customHeight="false" outlineLevel="0" collapsed="false">
      <c r="B23" s="5"/>
    </row>
    <row r="24" customFormat="false" ht="15" hidden="false" customHeight="false" outlineLevel="0" collapsed="false">
      <c r="A24" s="0" t="s">
        <v>24</v>
      </c>
      <c r="B24" s="5"/>
      <c r="C24" s="0" t="n">
        <v>330</v>
      </c>
      <c r="E24" s="0" t="n">
        <v>272</v>
      </c>
      <c r="F24" s="6" t="n">
        <f aca="false">IF(E24=0,"",(B24-E24)/E24)</f>
        <v>-1</v>
      </c>
    </row>
    <row r="25" customFormat="false" ht="15" hidden="false" customHeight="false" outlineLevel="0" collapsed="false">
      <c r="A25" s="0" t="s">
        <v>25</v>
      </c>
      <c r="B25" s="5"/>
      <c r="C25" s="0" t="n">
        <v>162</v>
      </c>
      <c r="E25" s="0" t="n">
        <v>173</v>
      </c>
      <c r="F25" s="6" t="n">
        <f aca="false">IF(E25=0,"",(B25-E25)/E25)</f>
        <v>-1</v>
      </c>
    </row>
    <row r="26" customFormat="false" ht="15" hidden="false" customHeight="false" outlineLevel="0" collapsed="false">
      <c r="A26" s="0" t="s">
        <v>26</v>
      </c>
      <c r="B26" s="5"/>
      <c r="C26" s="0" t="n">
        <v>1279</v>
      </c>
      <c r="E26" s="0" t="n">
        <v>1312</v>
      </c>
      <c r="F26" s="6" t="n">
        <f aca="false">IF(E26=0,"",(B26-E26)/E26)</f>
        <v>-1</v>
      </c>
    </row>
    <row r="27" customFormat="false" ht="15" hidden="false" customHeight="false" outlineLevel="0" collapsed="false">
      <c r="A27" s="0" t="s">
        <v>27</v>
      </c>
      <c r="B27" s="5"/>
      <c r="C27" s="7" t="s">
        <v>28</v>
      </c>
      <c r="E27" s="7" t="s">
        <v>29</v>
      </c>
      <c r="F27" s="6" t="n">
        <f aca="false">IF(E27=0,"",(B27-E27)/E27)</f>
        <v>-1</v>
      </c>
    </row>
    <row r="28" customFormat="false" ht="15" hidden="false" customHeight="false" outlineLevel="0" collapsed="false">
      <c r="A28" s="0" t="s">
        <v>30</v>
      </c>
      <c r="B28" s="5"/>
      <c r="C28" s="0" t="n">
        <v>403946</v>
      </c>
      <c r="E28" s="0" t="n">
        <v>353946</v>
      </c>
      <c r="F28" s="6" t="n">
        <f aca="false">IF(E28=0,"",(B28-E28)/E28)</f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16" min="2" style="0" width="10"/>
  </cols>
  <sheetData>
    <row r="1" customFormat="false" ht="17.35" hidden="false" customHeight="false" outlineLevel="0" collapsed="false">
      <c r="A1" s="1" t="s">
        <v>31</v>
      </c>
    </row>
    <row r="3" customFormat="false" ht="15" hidden="false" customHeight="false" outlineLevel="0" collapsed="false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4" t="s">
        <v>47</v>
      </c>
    </row>
    <row r="4" customFormat="false" ht="15" hidden="false" customHeight="false" outlineLevel="0" collapsed="false">
      <c r="A4" s="0" t="s">
        <v>10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8" t="n">
        <f aca="false">SUM(B4:M4)</f>
        <v>0</v>
      </c>
      <c r="O4" s="0" t="n">
        <v>130000</v>
      </c>
      <c r="P4" s="6" t="n">
        <f aca="false">IF(O4=0,"",N4/O4)</f>
        <v>0</v>
      </c>
    </row>
    <row r="5" customFormat="false" ht="15" hidden="false" customHeight="false" outlineLevel="0" collapsed="false">
      <c r="A5" s="0" t="s">
        <v>11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8" t="n">
        <f aca="false">SUM(B5:M5)</f>
        <v>0</v>
      </c>
      <c r="O5" s="0" t="n">
        <v>45000</v>
      </c>
      <c r="P5" s="6" t="n">
        <f aca="false">IF(O5=0,"",N5/O5)</f>
        <v>0</v>
      </c>
    </row>
    <row r="6" customFormat="false" ht="15" hidden="false" customHeight="false" outlineLevel="0" collapsed="false">
      <c r="A6" s="0" t="s">
        <v>12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8" t="n">
        <f aca="false">SUM(B6:M6)</f>
        <v>0</v>
      </c>
      <c r="O6" s="0" t="n">
        <v>100000</v>
      </c>
      <c r="P6" s="6" t="n">
        <f aca="false">IF(O6=0,"",N6/O6)</f>
        <v>0</v>
      </c>
    </row>
    <row r="7" customFormat="false" ht="15" hidden="false" customHeight="false" outlineLevel="0" collapsed="false">
      <c r="A7" s="0" t="s">
        <v>13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8" t="n">
        <f aca="false">SUM(B7:M7)</f>
        <v>0</v>
      </c>
      <c r="O7" s="0" t="n">
        <v>100000</v>
      </c>
      <c r="P7" s="6" t="n">
        <f aca="false">IF(O7=0,"",N7/O7)</f>
        <v>0</v>
      </c>
    </row>
    <row r="8" customFormat="false" ht="15" hidden="false" customHeight="false" outlineLevel="0" collapsed="false">
      <c r="A8" s="0" t="s">
        <v>14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8" t="n">
        <f aca="false">SUM(B8:M8)</f>
        <v>0</v>
      </c>
      <c r="O8" s="0" t="n">
        <v>100000</v>
      </c>
      <c r="P8" s="6" t="n">
        <f aca="false">IF(O8=0,"",N8/O8)</f>
        <v>0</v>
      </c>
    </row>
    <row r="9" customFormat="false" ht="15" hidden="false" customHeight="false" outlineLevel="0" collapsed="false">
      <c r="A9" s="0" t="s">
        <v>15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8" t="n">
        <f aca="false">SUM(B9:M9)</f>
        <v>0</v>
      </c>
      <c r="O9" s="0" t="n">
        <v>10000</v>
      </c>
      <c r="P9" s="6" t="n">
        <f aca="false">IF(O9=0,"",N9/O9)</f>
        <v>0</v>
      </c>
    </row>
    <row r="10" customFormat="false" ht="15" hidden="false" customHeight="false" outlineLevel="0" collapsed="false">
      <c r="A10" s="0" t="s">
        <v>16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8" t="n">
        <f aca="false">SUM(B10:M10)</f>
        <v>0</v>
      </c>
      <c r="O10" s="0" t="n">
        <v>20000</v>
      </c>
      <c r="P10" s="6" t="n">
        <f aca="false">IF(O10=0,"",N10/O10)</f>
        <v>0</v>
      </c>
    </row>
    <row r="11" customFormat="false" ht="15" hidden="false" customHeight="false" outlineLevel="0" collapsed="false">
      <c r="A11" s="0" t="s">
        <v>17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8" t="n">
        <f aca="false">SUM(B11:M11)</f>
        <v>0</v>
      </c>
      <c r="O11" s="0" t="n">
        <v>2000</v>
      </c>
      <c r="P11" s="6" t="n">
        <f aca="false">IF(O11=0,"",N11/O11)</f>
        <v>0</v>
      </c>
    </row>
    <row r="12" customFormat="false" ht="15" hidden="false" customHeight="false" outlineLevel="0" collapsed="false">
      <c r="A12" s="9" t="s">
        <v>48</v>
      </c>
      <c r="B12" s="5" t="n">
        <f aca="false">SUM(B4:B11)</f>
        <v>0</v>
      </c>
      <c r="C12" s="5" t="n">
        <f aca="false">SUM(C4:C11)</f>
        <v>0</v>
      </c>
      <c r="D12" s="5" t="n">
        <f aca="false">SUM(D4:D11)</f>
        <v>0</v>
      </c>
      <c r="E12" s="5" t="n">
        <f aca="false">SUM(E4:E11)</f>
        <v>0</v>
      </c>
      <c r="F12" s="5" t="n">
        <f aca="false">SUM(F4:F11)</f>
        <v>0</v>
      </c>
      <c r="G12" s="5" t="n">
        <f aca="false">SUM(G4:G11)</f>
        <v>0</v>
      </c>
      <c r="H12" s="5" t="n">
        <f aca="false">SUM(H4:H11)</f>
        <v>0</v>
      </c>
      <c r="I12" s="5" t="n">
        <f aca="false">SUM(I4:I11)</f>
        <v>0</v>
      </c>
      <c r="J12" s="5" t="n">
        <f aca="false">SUM(J4:J11)</f>
        <v>0</v>
      </c>
      <c r="K12" s="5" t="n">
        <f aca="false">SUM(K4:K11)</f>
        <v>0</v>
      </c>
      <c r="L12" s="5" t="n">
        <f aca="false">SUM(L4:L11)</f>
        <v>0</v>
      </c>
      <c r="M12" s="5" t="n">
        <f aca="false">SUM(M4:M11)</f>
        <v>0</v>
      </c>
      <c r="N12" s="8" t="n">
        <f aca="false">SUM(N4:N11)</f>
        <v>0</v>
      </c>
      <c r="O12" s="0" t="n">
        <v>507000</v>
      </c>
      <c r="P12" s="6" t="n">
        <f aca="false">IF(O12=0,"",N12/O12)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16" min="2" style="0" width="10"/>
  </cols>
  <sheetData>
    <row r="1" customFormat="false" ht="17.35" hidden="false" customHeight="false" outlineLevel="0" collapsed="false">
      <c r="A1" s="1" t="s">
        <v>49</v>
      </c>
    </row>
    <row r="3" customFormat="false" ht="15" hidden="false" customHeight="false" outlineLevel="0" collapsed="false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4" t="s">
        <v>47</v>
      </c>
    </row>
    <row r="4" customFormat="false" ht="15" hidden="false" customHeight="false" outlineLevel="0" collapsed="false">
      <c r="A4" s="0" t="s">
        <v>19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8" t="n">
        <f aca="false">SUM(B4:M4)</f>
        <v>0</v>
      </c>
      <c r="O4" s="0" t="n">
        <v>50000</v>
      </c>
      <c r="P4" s="6" t="n">
        <f aca="false">IF(O4=0,"",N4/O4)</f>
        <v>0</v>
      </c>
    </row>
    <row r="5" customFormat="false" ht="15" hidden="false" customHeight="false" outlineLevel="0" collapsed="false">
      <c r="A5" s="0" t="s">
        <v>20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8" t="n">
        <f aca="false">SUM(B5:M5)</f>
        <v>0</v>
      </c>
      <c r="O5" s="0" t="n">
        <v>185533</v>
      </c>
      <c r="P5" s="6" t="n">
        <f aca="false">IF(O5=0,"",N5/O5)</f>
        <v>0</v>
      </c>
    </row>
    <row r="6" customFormat="false" ht="15" hidden="false" customHeight="false" outlineLevel="0" collapsed="false">
      <c r="A6" s="0" t="s">
        <v>21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8" t="n">
        <f aca="false">SUM(B6:M6)</f>
        <v>0</v>
      </c>
      <c r="O6" s="0" t="n">
        <v>173270</v>
      </c>
      <c r="P6" s="6" t="n">
        <f aca="false">IF(O6=0,"",N6/O6)</f>
        <v>0</v>
      </c>
    </row>
    <row r="7" customFormat="false" ht="15" hidden="false" customHeight="false" outlineLevel="0" collapsed="false">
      <c r="A7" s="0" t="s">
        <v>22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8" t="n">
        <f aca="false">SUM(B7:M7)</f>
        <v>0</v>
      </c>
      <c r="O7" s="0" t="n">
        <v>70045</v>
      </c>
      <c r="P7" s="6" t="n">
        <f aca="false">IF(O7=0,"",N7/O7)</f>
        <v>0</v>
      </c>
    </row>
    <row r="8" customFormat="false" ht="15" hidden="false" customHeight="false" outlineLevel="0" collapsed="false">
      <c r="A8" s="9" t="s">
        <v>48</v>
      </c>
      <c r="B8" s="5" t="n">
        <f aca="false">SUM(B4:B7)</f>
        <v>0</v>
      </c>
      <c r="C8" s="5" t="n">
        <f aca="false">SUM(C4:C7)</f>
        <v>0</v>
      </c>
      <c r="D8" s="5" t="n">
        <f aca="false">SUM(D4:D7)</f>
        <v>0</v>
      </c>
      <c r="E8" s="5" t="n">
        <f aca="false">SUM(E4:E7)</f>
        <v>0</v>
      </c>
      <c r="F8" s="5" t="n">
        <f aca="false">SUM(F4:F7)</f>
        <v>0</v>
      </c>
      <c r="G8" s="5" t="n">
        <f aca="false">SUM(G4:G7)</f>
        <v>0</v>
      </c>
      <c r="H8" s="5" t="n">
        <f aca="false">SUM(H4:H7)</f>
        <v>0</v>
      </c>
      <c r="I8" s="5" t="n">
        <f aca="false">SUM(I4:I7)</f>
        <v>0</v>
      </c>
      <c r="J8" s="5" t="n">
        <f aca="false">SUM(J4:J7)</f>
        <v>0</v>
      </c>
      <c r="K8" s="5" t="n">
        <f aca="false">SUM(K4:K7)</f>
        <v>0</v>
      </c>
      <c r="L8" s="5" t="n">
        <f aca="false">SUM(L4:L7)</f>
        <v>0</v>
      </c>
      <c r="M8" s="5" t="n">
        <f aca="false">SUM(M4:M7)</f>
        <v>0</v>
      </c>
      <c r="N8" s="8" t="n">
        <f aca="false">SUM(N4:N7)</f>
        <v>0</v>
      </c>
      <c r="O8" s="0" t="n">
        <v>478848</v>
      </c>
      <c r="P8" s="6" t="n">
        <f aca="false">IF(O8=0,"",N8/O8)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13" min="2" style="0" width="8"/>
  </cols>
  <sheetData>
    <row r="1" customFormat="false" ht="17.35" hidden="false" customHeight="false" outlineLevel="0" collapsed="false">
      <c r="A1" s="1" t="s">
        <v>50</v>
      </c>
    </row>
    <row r="3" customFormat="false" ht="15" hidden="false" customHeight="false" outlineLevel="0" collapsed="false">
      <c r="A3" s="4" t="s">
        <v>3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</row>
    <row r="4" customFormat="false" ht="15" hidden="false" customHeight="false" outlineLevel="0" collapsed="false">
      <c r="A4" s="0" t="s">
        <v>24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15" hidden="false" customHeight="false" outlineLevel="0" collapsed="false">
      <c r="A5" s="0" t="s">
        <v>51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0" t="s">
        <v>52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customFormat="false" ht="15" hidden="false" customHeight="false" outlineLevel="0" collapsed="false">
      <c r="A7" s="0" t="s">
        <v>53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customFormat="false" ht="15" hidden="false" customHeight="false" outlineLevel="0" collapsed="false">
      <c r="A8" s="0" t="s">
        <v>54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customFormat="false" ht="15" hidden="false" customHeight="false" outlineLevel="0" collapsed="false">
      <c r="A9" s="0" t="s">
        <v>55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customFormat="false" ht="15" hidden="false" customHeight="false" outlineLevel="0" collapsed="false">
      <c r="A10" s="0" t="s">
        <v>56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customFormat="false" ht="15" hidden="false" customHeight="false" outlineLevel="0" collapsed="false">
      <c r="A11" s="0" t="s">
        <v>57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58</v>
      </c>
    </row>
    <row r="3" customFormat="false" ht="15" hidden="false" customHeight="false" outlineLevel="0" collapsed="false">
      <c r="A3" s="4" t="s">
        <v>3</v>
      </c>
      <c r="B3" s="4" t="s">
        <v>59</v>
      </c>
      <c r="C3" s="4" t="s">
        <v>60</v>
      </c>
      <c r="D3" s="4" t="s">
        <v>61</v>
      </c>
      <c r="E3" s="4" t="s">
        <v>62</v>
      </c>
      <c r="F3" s="4" t="s">
        <v>63</v>
      </c>
    </row>
    <row r="4" customFormat="false" ht="15" hidden="false" customHeight="false" outlineLevel="0" collapsed="false">
      <c r="A4" s="0" t="s">
        <v>64</v>
      </c>
      <c r="B4" s="8" t="n">
        <v>200963</v>
      </c>
      <c r="C4" s="8" t="n">
        <v>205000</v>
      </c>
      <c r="D4" s="8" t="n">
        <v>200000</v>
      </c>
      <c r="E4" s="8" t="n">
        <v>359823</v>
      </c>
      <c r="F4" s="8" t="n">
        <v>473256</v>
      </c>
    </row>
    <row r="5" customFormat="false" ht="15" hidden="false" customHeight="false" outlineLevel="0" collapsed="false">
      <c r="A5" s="0" t="s">
        <v>10</v>
      </c>
      <c r="B5" s="8" t="n">
        <v>74317</v>
      </c>
      <c r="C5" s="8" t="n">
        <v>82970</v>
      </c>
      <c r="D5" s="8" t="n">
        <v>120435</v>
      </c>
      <c r="E5" s="8" t="n">
        <v>96823</v>
      </c>
      <c r="F5" s="8" t="n">
        <v>82109</v>
      </c>
    </row>
    <row r="6" customFormat="false" ht="15" hidden="false" customHeight="false" outlineLevel="0" collapsed="false">
      <c r="A6" s="0" t="s">
        <v>12</v>
      </c>
      <c r="B6" s="8" t="n">
        <v>200000</v>
      </c>
      <c r="C6" s="8" t="n">
        <v>205000</v>
      </c>
      <c r="D6" s="8" t="n">
        <v>200000</v>
      </c>
      <c r="E6" s="8" t="n">
        <v>250000</v>
      </c>
      <c r="F6" s="8" t="n">
        <v>250000</v>
      </c>
    </row>
    <row r="7" customFormat="false" ht="15" hidden="false" customHeight="false" outlineLevel="0" collapsed="false">
      <c r="A7" s="0" t="s">
        <v>14</v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94011</v>
      </c>
    </row>
    <row r="9" customFormat="false" ht="15" hidden="false" customHeight="false" outlineLevel="0" collapsed="false">
      <c r="A9" s="0" t="s">
        <v>65</v>
      </c>
      <c r="B9" s="8" t="n">
        <v>233659</v>
      </c>
      <c r="C9" s="8" t="n">
        <v>283505</v>
      </c>
      <c r="D9" s="8" t="n">
        <v>339841</v>
      </c>
      <c r="E9" s="8" t="n">
        <v>370306</v>
      </c>
      <c r="F9" s="8" t="n">
        <v>437423</v>
      </c>
    </row>
    <row r="10" customFormat="false" ht="15" hidden="false" customHeight="false" outlineLevel="0" collapsed="false">
      <c r="A10" s="0" t="s">
        <v>19</v>
      </c>
      <c r="B10" s="8" t="n">
        <v>79973</v>
      </c>
      <c r="C10" s="8" t="n">
        <v>55570</v>
      </c>
      <c r="D10" s="8" t="n">
        <v>57000</v>
      </c>
      <c r="E10" s="8" t="n">
        <v>79800</v>
      </c>
      <c r="F10" s="8" t="n">
        <v>31603</v>
      </c>
    </row>
    <row r="12" customFormat="false" ht="15" hidden="false" customHeight="false" outlineLevel="0" collapsed="false">
      <c r="A12" s="0" t="s">
        <v>66</v>
      </c>
      <c r="B12" s="8" t="n">
        <v>-32696</v>
      </c>
      <c r="C12" s="8" t="n">
        <v>-78505</v>
      </c>
      <c r="D12" s="8" t="n">
        <v>-139841</v>
      </c>
      <c r="E12" s="8" t="n">
        <v>-10483</v>
      </c>
      <c r="F12" s="8" t="n">
        <v>35833</v>
      </c>
    </row>
    <row r="14" customFormat="false" ht="15" hidden="false" customHeight="false" outlineLevel="0" collapsed="false">
      <c r="A14" s="0" t="s">
        <v>24</v>
      </c>
      <c r="B14" s="8" t="n">
        <v>63</v>
      </c>
      <c r="C14" s="8" t="n">
        <v>136</v>
      </c>
      <c r="D14" s="8" t="n">
        <v>178</v>
      </c>
      <c r="E14" s="8" t="n">
        <v>87</v>
      </c>
      <c r="F14" s="8" t="n">
        <v>272</v>
      </c>
    </row>
    <row r="15" customFormat="false" ht="15" hidden="false" customHeight="false" outlineLevel="0" collapsed="false">
      <c r="A15" s="0" t="s">
        <v>25</v>
      </c>
      <c r="B15" s="8" t="n">
        <v>145</v>
      </c>
      <c r="C15" s="8" t="n">
        <v>106</v>
      </c>
      <c r="D15" s="8" t="n">
        <v>110</v>
      </c>
      <c r="E15" s="8" t="n">
        <v>122</v>
      </c>
      <c r="F15" s="8" t="n">
        <v>173</v>
      </c>
    </row>
    <row r="16" customFormat="false" ht="15" hidden="false" customHeight="false" outlineLevel="0" collapsed="false">
      <c r="A16" s="0" t="s">
        <v>26</v>
      </c>
      <c r="B16" s="8" t="n">
        <v>512</v>
      </c>
      <c r="C16" s="8" t="n">
        <v>783</v>
      </c>
      <c r="D16" s="8" t="n">
        <v>1094</v>
      </c>
      <c r="E16" s="8" t="n">
        <v>885</v>
      </c>
      <c r="F16" s="8" t="n">
        <v>1312</v>
      </c>
    </row>
    <row r="17" customFormat="false" ht="15" hidden="false" customHeight="false" outlineLevel="0" collapsed="false">
      <c r="A17" s="0" t="s">
        <v>67</v>
      </c>
      <c r="B17" s="8" t="n">
        <v>79973</v>
      </c>
      <c r="C17" s="8" t="n">
        <v>135543</v>
      </c>
      <c r="D17" s="8" t="n">
        <v>192543</v>
      </c>
      <c r="E17" s="8" t="n">
        <v>272343</v>
      </c>
      <c r="F17" s="8" t="n">
        <v>303946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68</v>
      </c>
    </row>
    <row r="3" customFormat="false" ht="15" hidden="false" customHeight="false" outlineLevel="0" collapsed="false">
      <c r="A3" s="4" t="s">
        <v>69</v>
      </c>
      <c r="B3" s="4" t="s">
        <v>5</v>
      </c>
      <c r="C3" s="4" t="s">
        <v>70</v>
      </c>
      <c r="D3" s="4" t="s">
        <v>71</v>
      </c>
      <c r="E3" s="4" t="s">
        <v>72</v>
      </c>
    </row>
    <row r="4" customFormat="false" ht="15" hidden="false" customHeight="false" outlineLevel="0" collapsed="false">
      <c r="A4" s="0" t="s">
        <v>30</v>
      </c>
      <c r="B4" s="0" t="n">
        <v>1000000</v>
      </c>
      <c r="C4" s="5" t="n">
        <v>303946</v>
      </c>
      <c r="D4" s="6" t="n">
        <f aca="false">IF(B4=0,"",C4/B4)</f>
        <v>0.303946</v>
      </c>
      <c r="E4" s="8" t="n">
        <f aca="false">B4-C4</f>
        <v>696054</v>
      </c>
    </row>
    <row r="5" customFormat="false" ht="15" hidden="false" customHeight="false" outlineLevel="0" collapsed="false">
      <c r="A5" s="0" t="s">
        <v>73</v>
      </c>
      <c r="B5" s="0" t="n">
        <v>1000</v>
      </c>
      <c r="C5" s="5" t="n">
        <v>272</v>
      </c>
      <c r="D5" s="6" t="n">
        <f aca="false">IF(B5=0,"",C5/B5)</f>
        <v>0.272</v>
      </c>
      <c r="E5" s="8" t="n">
        <f aca="false">B5-C5</f>
        <v>728</v>
      </c>
    </row>
    <row r="6" customFormat="false" ht="15" hidden="false" customHeight="false" outlineLevel="0" collapsed="false">
      <c r="A6" s="0" t="s">
        <v>74</v>
      </c>
      <c r="B6" s="0" t="n">
        <v>50</v>
      </c>
      <c r="C6" s="5" t="n">
        <v>21</v>
      </c>
      <c r="D6" s="6" t="n">
        <f aca="false">IF(B6=0,"",C6/B6)</f>
        <v>0.42</v>
      </c>
      <c r="E6" s="8" t="n">
        <f aca="false">B6-C6</f>
        <v>29</v>
      </c>
    </row>
    <row r="7" customFormat="false" ht="15" hidden="false" customHeight="false" outlineLevel="0" collapsed="false">
      <c r="A7" s="0" t="s">
        <v>75</v>
      </c>
      <c r="B7" s="0" t="n">
        <v>20000</v>
      </c>
      <c r="C7" s="5" t="n">
        <v>1800</v>
      </c>
      <c r="D7" s="6" t="n">
        <f aca="false">IF(B7=0,"",C7/B7)</f>
        <v>0.09</v>
      </c>
      <c r="E7" s="8" t="n">
        <f aca="false">B7-C7</f>
        <v>18200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2026-01-26T21:30:36Z</dcterms:created>
  <dc:creator>openpyxl</dc:creator>
  <dc:description/>
  <dc:language>en-US</dc:language>
  <cp:lastModifiedBy/>
  <dcterms:modified xsi:type="dcterms:W3CDTF">2026-01-26T21:30:36Z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